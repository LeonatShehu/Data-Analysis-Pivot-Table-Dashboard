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mac/Downloads/"/>
    </mc:Choice>
  </mc:AlternateContent>
  <xr:revisionPtr revIDLastSave="0" documentId="13_ncr:1_{6706A818-9AD7-7E4E-9F6E-64F16FC1D594}" xr6:coauthVersionLast="47" xr6:coauthVersionMax="47" xr10:uidLastSave="{00000000-0000-0000-0000-000000000000}"/>
  <bookViews>
    <workbookView xWindow="240" yWindow="760" windowWidth="26800" windowHeight="16880" activeTab="3" xr2:uid="{00000000-000D-0000-FFFF-FFFF00000000}"/>
  </bookViews>
  <sheets>
    <sheet name="Prishtina_real_estate_2025" sheetId="1" r:id="rId1"/>
    <sheet name="Pivot Tables" sheetId="2" r:id="rId2"/>
    <sheet name="DASHBOARD" sheetId="4" r:id="rId3"/>
    <sheet name="Conclusions" sheetId="3" r:id="rId4"/>
  </sheets>
  <definedNames>
    <definedName name="Slicer_Bedrooms">#N/A</definedName>
    <definedName name="Slicer_Condition">#N/A</definedName>
    <definedName name="Slicer_Neighborhood">#N/A</definedName>
  </definedNames>
  <calcPr calcId="191029"/>
  <pivotCaches>
    <pivotCache cacheId="70" r:id="rId5"/>
    <pivotCache cacheId="7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502" i="1" l="1"/>
  <c r="I502" i="1"/>
</calcChain>
</file>

<file path=xl/sharedStrings.xml><?xml version="1.0" encoding="utf-8"?>
<sst xmlns="http://schemas.openxmlformats.org/spreadsheetml/2006/main" count="2052" uniqueCount="42">
  <si>
    <t>Date</t>
  </si>
  <si>
    <t>Neighborhood</t>
  </si>
  <si>
    <t>PropertyType</t>
  </si>
  <si>
    <t>Size_m2</t>
  </si>
  <si>
    <t>Price_per_m2</t>
  </si>
  <si>
    <t>Bedrooms</t>
  </si>
  <si>
    <t>Condition</t>
  </si>
  <si>
    <t>Seller_Type</t>
  </si>
  <si>
    <t>Total_Price</t>
  </si>
  <si>
    <t>Kalabria</t>
  </si>
  <si>
    <t>Arbëria</t>
  </si>
  <si>
    <t>Qendra</t>
  </si>
  <si>
    <t>Bregu i Diellit</t>
  </si>
  <si>
    <t>Velania</t>
  </si>
  <si>
    <t>Dardania</t>
  </si>
  <si>
    <t>Mati 1</t>
  </si>
  <si>
    <t>Ulpiana</t>
  </si>
  <si>
    <t>Apartment</t>
  </si>
  <si>
    <t>House</t>
  </si>
  <si>
    <t>Used</t>
  </si>
  <si>
    <t>New</t>
  </si>
  <si>
    <t>Like New</t>
  </si>
  <si>
    <t>Private</t>
  </si>
  <si>
    <t>Agency</t>
  </si>
  <si>
    <t>Row Labels</t>
  </si>
  <si>
    <t>Grand Total</t>
  </si>
  <si>
    <t>Sum of Total_Price</t>
  </si>
  <si>
    <t>Count of PropertyType</t>
  </si>
  <si>
    <t>Main trends:</t>
  </si>
  <si>
    <t>Pattern over the year:</t>
  </si>
  <si>
    <t>Bottom line:</t>
  </si>
  <si>
    <t>with central and well-established neighborhoods commanding the highest prices, while some districts are more price-sensitive and fluctuate more.</t>
  </si>
  <si>
    <t>Prices were volatile month to month rather than steadily rising.</t>
  </si>
  <si>
    <t>Several neighborhoods peaked in mid-to-late year:</t>
  </si>
  <si>
    <t xml:space="preserve">Prishtina’s real estate market in 2025 shows a clear premium zone effect, </t>
  </si>
  <si>
    <r>
      <rPr>
        <b/>
        <sz val="16"/>
        <color rgb="FF0A0A0A"/>
        <rFont val="Inter"/>
      </rPr>
      <t>Bregu i Diellit</t>
    </r>
    <r>
      <rPr>
        <sz val="16"/>
        <color rgb="FF0A0A0A"/>
        <rFont val="Inter"/>
      </rPr>
      <t> had the highest average transaction price overall, around €168k.</t>
    </r>
  </si>
  <si>
    <r>
      <rPr>
        <b/>
        <sz val="16"/>
        <color rgb="FF0A0A0A"/>
        <rFont val="Inter"/>
      </rPr>
      <t>Dardania</t>
    </r>
    <r>
      <rPr>
        <sz val="16"/>
        <color rgb="FF0A0A0A"/>
        <rFont val="Inter"/>
      </rPr>
      <t> and </t>
    </r>
    <r>
      <rPr>
        <b/>
        <sz val="16"/>
        <color rgb="FF0A0A0A"/>
        <rFont val="Inter"/>
      </rPr>
      <t>Velania</t>
    </r>
    <r>
      <rPr>
        <sz val="16"/>
        <color rgb="FF0A0A0A"/>
        <rFont val="Inter"/>
      </rPr>
      <t> were also premium areas, both near €160k+ on average.</t>
    </r>
  </si>
  <si>
    <r>
      <rPr>
        <b/>
        <sz val="16"/>
        <color rgb="FF0A0A0A"/>
        <rFont val="Inter"/>
      </rPr>
      <t>Arbëria, Ulpiana,</t>
    </r>
    <r>
      <rPr>
        <sz val="16"/>
        <color rgb="FF0A0A0A"/>
        <rFont val="Inter"/>
      </rPr>
      <t xml:space="preserve"> and </t>
    </r>
    <r>
      <rPr>
        <b/>
        <sz val="16"/>
        <color rgb="FF0A0A0A"/>
        <rFont val="Inter"/>
      </rPr>
      <t>Mati 1</t>
    </r>
    <r>
      <rPr>
        <sz val="16"/>
        <color rgb="FF0A0A0A"/>
        <rFont val="Inter"/>
      </rPr>
      <t> were generally more affordable, with lower average total prices.</t>
    </r>
  </si>
  <si>
    <r>
      <rPr>
        <b/>
        <sz val="16"/>
        <color rgb="FF0A0A0A"/>
        <rFont val="Inter"/>
      </rPr>
      <t>Bregu i Diellit</t>
    </r>
    <r>
      <rPr>
        <sz val="16"/>
        <color rgb="FF0A0A0A"/>
        <rFont val="Inter"/>
      </rPr>
      <t> rose sharply in September and November</t>
    </r>
  </si>
  <si>
    <r>
      <rPr>
        <b/>
        <sz val="16"/>
        <color rgb="FF0A0A0A"/>
        <rFont val="Inter"/>
      </rPr>
      <t>Dardania</t>
    </r>
    <r>
      <rPr>
        <sz val="16"/>
        <color rgb="FF0A0A0A"/>
        <rFont val="Inter"/>
      </rPr>
      <t> stayed strong through summer</t>
    </r>
  </si>
  <si>
    <r>
      <rPr>
        <b/>
        <sz val="16"/>
        <color rgb="FF0A0A0A"/>
        <rFont val="Inter"/>
      </rPr>
      <t>Kalabria</t>
    </r>
    <r>
      <rPr>
        <sz val="16"/>
        <color rgb="FF0A0A0A"/>
        <rFont val="Inter"/>
      </rPr>
      <t> and </t>
    </r>
    <r>
      <rPr>
        <b/>
        <sz val="16"/>
        <color rgb="FF0A0A0A"/>
        <rFont val="Inter"/>
      </rPr>
      <t>Qendra</t>
    </r>
    <r>
      <rPr>
        <sz val="16"/>
        <color rgb="FF0A0A0A"/>
        <rFont val="Inter"/>
      </rPr>
      <t> had some big spikes, especially in July, September, and December</t>
    </r>
  </si>
  <si>
    <r>
      <rPr>
        <b/>
        <sz val="16"/>
        <color rgb="FF0A0A0A"/>
        <rFont val="Inter"/>
      </rPr>
      <t>Kalabria</t>
    </r>
    <r>
      <rPr>
        <sz val="16"/>
        <color rgb="FF0A0A0A"/>
        <rFont val="Inter"/>
      </rPr>
      <t> and </t>
    </r>
    <r>
      <rPr>
        <b/>
        <sz val="16"/>
        <color rgb="FF0A0A0A"/>
        <rFont val="Inter"/>
      </rPr>
      <t>Qendra</t>
    </r>
    <r>
      <rPr>
        <sz val="16"/>
        <color rgb="FF0A0A0A"/>
        <rFont val="Inter"/>
      </rPr>
      <t> showed strong pricing too, with</t>
    </r>
    <r>
      <rPr>
        <b/>
        <sz val="16"/>
        <color rgb="FF0A0A0A"/>
        <rFont val="Inter"/>
      </rPr>
      <t> Qendra </t>
    </r>
    <r>
      <rPr>
        <sz val="16"/>
        <color rgb="FF0A0A0A"/>
        <rFont val="Inter"/>
      </rPr>
      <t>having the highest price per m².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</si>
</sst>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_([$€-2]\ * #,##0_);_([$€-2]\ * \(#,##0\);_([$€-2]\ * &quot;-&quot;??_);_(@_)"/>
    <numFmt numFmtId="173" formatCode="_(* #,##0_);_(* \(#,##0\);_(* &quot;-&quot;??_);_(@_)"/>
  </numFmts>
  <fonts count="7">
    <font>
      <sz val="11"/>
      <color theme="1"/>
      <name val="Calibri"/>
      <family val="2"/>
      <scheme val="minor"/>
    </font>
    <font>
      <b/>
      <sz val="11"/>
      <color theme="1"/>
      <name val="Calibri"/>
      <family val="2"/>
      <scheme val="minor"/>
    </font>
    <font>
      <sz val="8"/>
      <name val="Calibri"/>
      <family val="2"/>
      <scheme val="minor"/>
    </font>
    <font>
      <sz val="16"/>
      <color rgb="FF0A0A0A"/>
      <name val="Inter"/>
    </font>
    <font>
      <sz val="16"/>
      <color theme="1"/>
      <name val="Inter"/>
    </font>
    <font>
      <b/>
      <sz val="16"/>
      <color rgb="FF0A0A0A"/>
      <name val="Inter"/>
    </font>
    <font>
      <sz val="11"/>
      <color theme="0"/>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164" fontId="0" fillId="0" borderId="0" xfId="0" applyNumberFormat="1"/>
    <xf numFmtId="165"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0" fontId="4" fillId="0" borderId="0" xfId="0" applyFont="1"/>
    <xf numFmtId="0" fontId="5" fillId="0" borderId="0" xfId="0" applyFont="1"/>
    <xf numFmtId="173" fontId="0" fillId="0" borderId="0" xfId="0" applyNumberFormat="1"/>
    <xf numFmtId="0" fontId="0" fillId="2" borderId="0" xfId="0" applyFill="1"/>
    <xf numFmtId="165" fontId="6" fillId="2" borderId="0" xfId="0" applyNumberFormat="1" applyFont="1" applyFill="1"/>
  </cellXfs>
  <cellStyles count="1">
    <cellStyle name="Normal" xfId="0" builtinId="0"/>
  </cellStyles>
  <dxfs count="211">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3" formatCode="_(* #,##0_);_(* \(#,##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72" formatCode="_(* #,##0.0_);_(* \(#,##0.0\);_(* &quot;-&quot;??_);_(@_)"/>
    </dxf>
    <dxf>
      <numFmt numFmtId="173" formatCode="_(* #,##0_);_(* \(#,##0\);_(* &quot;-&quot;??_);_(@_)"/>
    </dxf>
    <dxf>
      <numFmt numFmtId="35" formatCode="_(* #,##0.00_);_(* \(#,##0.00\);_(* &quot;-&quot;??_);_(@_)"/>
    </dxf>
    <dxf>
      <numFmt numFmtId="173" formatCode="_(* #,##0_);_(* \(#,##0\);_(*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5" formatCode="_([$€-2]\ * #,##0_);_([$€-2]\ * \(#,##0\);_([$€-2]\ * &quot;-&quot;??_);_(@_)"/>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[prishtina_real_estate_2025_pivots.xlsx]Pivot Tables!PivotTable39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Neighborhood's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1"/>
            </a:solidFill>
            <a:ln>
              <a:noFill/>
            </a:ln>
            <a:effectLst/>
          </c:spPr>
          <c:invertIfNegative val="0"/>
          <c:cat>
            <c:strRef>
              <c:f>'Pivot Tables'!$B$3:$B$11</c:f>
              <c:strCache>
                <c:ptCount val="8"/>
                <c:pt idx="0">
                  <c:v>Arbëria</c:v>
                </c:pt>
                <c:pt idx="1">
                  <c:v>Bregu i Diellit</c:v>
                </c:pt>
                <c:pt idx="2">
                  <c:v>Dardania</c:v>
                </c:pt>
                <c:pt idx="3">
                  <c:v>Kalabria</c:v>
                </c:pt>
                <c:pt idx="4">
                  <c:v>Mati 1</c:v>
                </c:pt>
                <c:pt idx="5">
                  <c:v>Qendra</c:v>
                </c:pt>
                <c:pt idx="6">
                  <c:v>Ulpiana</c:v>
                </c:pt>
                <c:pt idx="7">
                  <c:v>Velania</c:v>
                </c:pt>
              </c:strCache>
            </c:strRef>
          </c:cat>
          <c:val>
            <c:numRef>
              <c:f>'Pivot Tables'!$C$3:$C$11</c:f>
              <c:numCache>
                <c:formatCode>_([$€-2]\ * #,##0_);_([$€-2]\ * \(#,##0\);_([$€-2]\ * "-"??_);_(@_)</c:formatCode>
                <c:ptCount val="8"/>
                <c:pt idx="0">
                  <c:v>11721170</c:v>
                </c:pt>
                <c:pt idx="1">
                  <c:v>10766776</c:v>
                </c:pt>
                <c:pt idx="2">
                  <c:v>7432610</c:v>
                </c:pt>
                <c:pt idx="3">
                  <c:v>9289324</c:v>
                </c:pt>
                <c:pt idx="4">
                  <c:v>8703858</c:v>
                </c:pt>
                <c:pt idx="5">
                  <c:v>7930242</c:v>
                </c:pt>
                <c:pt idx="6">
                  <c:v>10412000</c:v>
                </c:pt>
                <c:pt idx="7">
                  <c:v>11533728</c:v>
                </c:pt>
              </c:numCache>
            </c:numRef>
          </c:val>
          <c:extLst>
            <c:ext xmlns:c16="http://schemas.microsoft.com/office/drawing/2014/chart" uri="{C3380CC4-5D6E-409C-BE32-E72D297353CC}">
              <c16:uniqueId val="{00000000-05B5-7B42-A782-59CB56724191}"/>
            </c:ext>
          </c:extLst>
        </c:ser>
        <c:dLbls>
          <c:showLegendKey val="0"/>
          <c:showVal val="0"/>
          <c:showCatName val="0"/>
          <c:showSerName val="0"/>
          <c:showPercent val="0"/>
          <c:showBubbleSize val="0"/>
        </c:dLbls>
        <c:gapWidth val="219"/>
        <c:overlap val="-27"/>
        <c:axId val="219664864"/>
        <c:axId val="219250848"/>
      </c:barChart>
      <c:catAx>
        <c:axId val="2196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50848"/>
        <c:crosses val="autoZero"/>
        <c:auto val="1"/>
        <c:lblAlgn val="ctr"/>
        <c:lblOffset val="100"/>
        <c:noMultiLvlLbl val="0"/>
      </c:catAx>
      <c:valAx>
        <c:axId val="219250848"/>
        <c:scaling>
          <c:orientation val="minMax"/>
        </c:scaling>
        <c:delete val="0"/>
        <c:axPos val="l"/>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6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[prishtina_real_estate_2025_pivots.xlsx]Pivot Tables!PivotTable41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with different Bedrooms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tx2">
              <a:lumMod val="40000"/>
              <a:lumOff val="6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s>
    <c:plotArea>
      <c:layout/>
      <c:barChart>
        <c:barDir val="bar"/>
        <c:grouping val="clustered"/>
        <c:varyColors val="0"/>
        <c:ser>
          <c:idx val="0"/>
          <c:order val="0"/>
          <c:tx>
            <c:strRef>
              <c:f>'Pivot Tables'!$K$2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621D-5140-95E9-84542C262D2E}"/>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621D-5140-95E9-84542C262D2E}"/>
              </c:ext>
            </c:extLst>
          </c:dPt>
          <c:dPt>
            <c:idx val="2"/>
            <c:invertIfNegative val="0"/>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4-621D-5140-95E9-84542C262D2E}"/>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2-621D-5140-95E9-84542C262D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Tables'!$J$3:$J$7</c:f>
              <c:strCache>
                <c:ptCount val="4"/>
                <c:pt idx="0">
                  <c:v>1</c:v>
                </c:pt>
                <c:pt idx="1">
                  <c:v>2</c:v>
                </c:pt>
                <c:pt idx="2">
                  <c:v>3</c:v>
                </c:pt>
                <c:pt idx="3">
                  <c:v>4</c:v>
                </c:pt>
              </c:strCache>
            </c:strRef>
          </c:cat>
          <c:val>
            <c:numRef>
              <c:f>'Pivot Tables'!$K$3:$K$7</c:f>
              <c:numCache>
                <c:formatCode>_([$€-2]\ * #,##0_);_([$€-2]\ * \(#,##0\);_([$€-2]\ * "-"??_);_(@_)</c:formatCode>
                <c:ptCount val="4"/>
                <c:pt idx="0">
                  <c:v>19032648</c:v>
                </c:pt>
                <c:pt idx="1">
                  <c:v>21094156</c:v>
                </c:pt>
                <c:pt idx="2">
                  <c:v>17881540</c:v>
                </c:pt>
                <c:pt idx="3">
                  <c:v>19781364</c:v>
                </c:pt>
              </c:numCache>
            </c:numRef>
          </c:val>
          <c:extLst>
            <c:ext xmlns:c16="http://schemas.microsoft.com/office/drawing/2014/chart" uri="{C3380CC4-5D6E-409C-BE32-E72D297353CC}">
              <c16:uniqueId val="{00000000-621D-5140-95E9-84542C262D2E}"/>
            </c:ext>
          </c:extLst>
        </c:ser>
        <c:dLbls>
          <c:showLegendKey val="0"/>
          <c:showVal val="0"/>
          <c:showCatName val="0"/>
          <c:showSerName val="0"/>
          <c:showPercent val="0"/>
          <c:showBubbleSize val="0"/>
        </c:dLbls>
        <c:gapWidth val="150"/>
        <c:axId val="1694575168"/>
        <c:axId val="1742494144"/>
      </c:barChart>
      <c:valAx>
        <c:axId val="1742494144"/>
        <c:scaling>
          <c:orientation val="minMax"/>
        </c:scaling>
        <c:delete val="1"/>
        <c:axPos val="b"/>
        <c:majorGridlines>
          <c:spPr>
            <a:ln w="9525" cap="flat" cmpd="sng" algn="ctr">
              <a:solidFill>
                <a:schemeClr val="tx1">
                  <a:lumMod val="15000"/>
                  <a:lumOff val="85000"/>
                </a:schemeClr>
              </a:solidFill>
              <a:round/>
            </a:ln>
            <a:effectLst/>
          </c:spPr>
        </c:majorGridlines>
        <c:numFmt formatCode="_([$€-2]\ * #,##0_);_([$€-2]\ * \(#,##0\);_([$€-2]\ * &quot;-&quot;??_);_(@_)" sourceLinked="1"/>
        <c:majorTickMark val="out"/>
        <c:minorTickMark val="none"/>
        <c:tickLblPos val="nextTo"/>
        <c:crossAx val="1694575168"/>
        <c:crossBetween val="between"/>
      </c:valAx>
      <c:catAx>
        <c:axId val="1694575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94144"/>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[prishtina_real_estate_2025_pivots.xlsx]Pivot Tables!PivotTable43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 different property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Tables'!$N$2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Tables'!$M$3:$M$6</c:f>
              <c:strCache>
                <c:ptCount val="3"/>
                <c:pt idx="0">
                  <c:v>Like New</c:v>
                </c:pt>
                <c:pt idx="1">
                  <c:v>New</c:v>
                </c:pt>
                <c:pt idx="2">
                  <c:v>Used</c:v>
                </c:pt>
              </c:strCache>
            </c:strRef>
          </c:cat>
          <c:val>
            <c:numRef>
              <c:f>'Pivot Tables'!$N$3:$N$6</c:f>
              <c:numCache>
                <c:formatCode>_(* #,##0_);_(* \(#,##0\);_(* "-"??_);_(@_)</c:formatCode>
                <c:ptCount val="3"/>
                <c:pt idx="0">
                  <c:v>176</c:v>
                </c:pt>
                <c:pt idx="1">
                  <c:v>178</c:v>
                </c:pt>
                <c:pt idx="2">
                  <c:v>146</c:v>
                </c:pt>
              </c:numCache>
            </c:numRef>
          </c:val>
          <c:extLst>
            <c:ext xmlns:c16="http://schemas.microsoft.com/office/drawing/2014/chart" uri="{C3380CC4-5D6E-409C-BE32-E72D297353CC}">
              <c16:uniqueId val="{00000000-010C-B040-A5D0-EEA86C7A967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[prishtina_real_estate_2025_pivots.xlsx]Pivot Tables!PivotTable39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Neighborhood's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1"/>
            </a:solidFill>
            <a:ln>
              <a:noFill/>
            </a:ln>
            <a:effectLst/>
          </c:spPr>
          <c:invertIfNegative val="0"/>
          <c:cat>
            <c:strRef>
              <c:f>'Pivot Tables'!$B$3:$B$11</c:f>
              <c:strCache>
                <c:ptCount val="8"/>
                <c:pt idx="0">
                  <c:v>Arbëria</c:v>
                </c:pt>
                <c:pt idx="1">
                  <c:v>Bregu i Diellit</c:v>
                </c:pt>
                <c:pt idx="2">
                  <c:v>Dardania</c:v>
                </c:pt>
                <c:pt idx="3">
                  <c:v>Kalabria</c:v>
                </c:pt>
                <c:pt idx="4">
                  <c:v>Mati 1</c:v>
                </c:pt>
                <c:pt idx="5">
                  <c:v>Qendra</c:v>
                </c:pt>
                <c:pt idx="6">
                  <c:v>Ulpiana</c:v>
                </c:pt>
                <c:pt idx="7">
                  <c:v>Velania</c:v>
                </c:pt>
              </c:strCache>
            </c:strRef>
          </c:cat>
          <c:val>
            <c:numRef>
              <c:f>'Pivot Tables'!$C$3:$C$11</c:f>
              <c:numCache>
                <c:formatCode>_([$€-2]\ * #,##0_);_([$€-2]\ * \(#,##0\);_([$€-2]\ * "-"??_);_(@_)</c:formatCode>
                <c:ptCount val="8"/>
                <c:pt idx="0">
                  <c:v>11721170</c:v>
                </c:pt>
                <c:pt idx="1">
                  <c:v>10766776</c:v>
                </c:pt>
                <c:pt idx="2">
                  <c:v>7432610</c:v>
                </c:pt>
                <c:pt idx="3">
                  <c:v>9289324</c:v>
                </c:pt>
                <c:pt idx="4">
                  <c:v>8703858</c:v>
                </c:pt>
                <c:pt idx="5">
                  <c:v>7930242</c:v>
                </c:pt>
                <c:pt idx="6">
                  <c:v>10412000</c:v>
                </c:pt>
                <c:pt idx="7">
                  <c:v>11533728</c:v>
                </c:pt>
              </c:numCache>
            </c:numRef>
          </c:val>
          <c:extLst>
            <c:ext xmlns:c16="http://schemas.microsoft.com/office/drawing/2014/chart" uri="{C3380CC4-5D6E-409C-BE32-E72D297353CC}">
              <c16:uniqueId val="{00000000-2E7A-0A41-80E1-84B3DEFFC158}"/>
            </c:ext>
          </c:extLst>
        </c:ser>
        <c:dLbls>
          <c:showLegendKey val="0"/>
          <c:showVal val="0"/>
          <c:showCatName val="0"/>
          <c:showSerName val="0"/>
          <c:showPercent val="0"/>
          <c:showBubbleSize val="0"/>
        </c:dLbls>
        <c:gapWidth val="219"/>
        <c:overlap val="-27"/>
        <c:axId val="219664864"/>
        <c:axId val="219250848"/>
      </c:barChart>
      <c:catAx>
        <c:axId val="2196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50848"/>
        <c:crosses val="autoZero"/>
        <c:auto val="1"/>
        <c:lblAlgn val="ctr"/>
        <c:lblOffset val="100"/>
        <c:noMultiLvlLbl val="0"/>
      </c:catAx>
      <c:valAx>
        <c:axId val="219250848"/>
        <c:scaling>
          <c:orientation val="minMax"/>
        </c:scaling>
        <c:delete val="0"/>
        <c:axPos val="l"/>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6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[prishtina_real_estate_2025_pivots.xlsx]Pivot Tables!PivotTable41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with different Bedrooms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tx2">
              <a:lumMod val="40000"/>
              <a:lumOff val="6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
        <c:idx val="8"/>
        <c:spPr>
          <a:solidFill>
            <a:schemeClr val="tx2">
              <a:lumMod val="40000"/>
              <a:lumOff val="60000"/>
            </a:schemeClr>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tx2">
              <a:lumMod val="40000"/>
              <a:lumOff val="60000"/>
            </a:schemeClr>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s>
    <c:plotArea>
      <c:layout/>
      <c:barChart>
        <c:barDir val="bar"/>
        <c:grouping val="clustered"/>
        <c:varyColors val="0"/>
        <c:ser>
          <c:idx val="0"/>
          <c:order val="0"/>
          <c:tx>
            <c:strRef>
              <c:f>'Pivot Tables'!$K$2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DE42-6B41-A700-8E3051514432}"/>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DE42-6B41-A700-8E3051514432}"/>
              </c:ext>
            </c:extLst>
          </c:dPt>
          <c:dPt>
            <c:idx val="2"/>
            <c:invertIfNegative val="0"/>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DE42-6B41-A700-8E3051514432}"/>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DE42-6B41-A700-8E30515144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Tables'!$J$3:$J$7</c:f>
              <c:strCache>
                <c:ptCount val="4"/>
                <c:pt idx="0">
                  <c:v>1</c:v>
                </c:pt>
                <c:pt idx="1">
                  <c:v>2</c:v>
                </c:pt>
                <c:pt idx="2">
                  <c:v>3</c:v>
                </c:pt>
                <c:pt idx="3">
                  <c:v>4</c:v>
                </c:pt>
              </c:strCache>
            </c:strRef>
          </c:cat>
          <c:val>
            <c:numRef>
              <c:f>'Pivot Tables'!$K$3:$K$7</c:f>
              <c:numCache>
                <c:formatCode>_([$€-2]\ * #,##0_);_([$€-2]\ * \(#,##0\);_([$€-2]\ * "-"??_);_(@_)</c:formatCode>
                <c:ptCount val="4"/>
                <c:pt idx="0">
                  <c:v>19032648</c:v>
                </c:pt>
                <c:pt idx="1">
                  <c:v>21094156</c:v>
                </c:pt>
                <c:pt idx="2">
                  <c:v>17881540</c:v>
                </c:pt>
                <c:pt idx="3">
                  <c:v>19781364</c:v>
                </c:pt>
              </c:numCache>
            </c:numRef>
          </c:val>
          <c:extLst>
            <c:ext xmlns:c16="http://schemas.microsoft.com/office/drawing/2014/chart" uri="{C3380CC4-5D6E-409C-BE32-E72D297353CC}">
              <c16:uniqueId val="{00000008-DE42-6B41-A700-8E3051514432}"/>
            </c:ext>
          </c:extLst>
        </c:ser>
        <c:dLbls>
          <c:showLegendKey val="0"/>
          <c:showVal val="0"/>
          <c:showCatName val="0"/>
          <c:showSerName val="0"/>
          <c:showPercent val="0"/>
          <c:showBubbleSize val="0"/>
        </c:dLbls>
        <c:gapWidth val="150"/>
        <c:axId val="1694575168"/>
        <c:axId val="1742494144"/>
      </c:barChart>
      <c:valAx>
        <c:axId val="1742494144"/>
        <c:scaling>
          <c:orientation val="minMax"/>
        </c:scaling>
        <c:delete val="1"/>
        <c:axPos val="b"/>
        <c:majorGridlines>
          <c:spPr>
            <a:ln w="9525" cap="flat" cmpd="sng" algn="ctr">
              <a:solidFill>
                <a:schemeClr val="tx1">
                  <a:lumMod val="15000"/>
                  <a:lumOff val="85000"/>
                </a:schemeClr>
              </a:solidFill>
              <a:round/>
            </a:ln>
            <a:effectLst/>
          </c:spPr>
        </c:majorGridlines>
        <c:numFmt formatCode="_([$€-2]\ * #,##0_);_([$€-2]\ * \(#,##0\);_([$€-2]\ * &quot;-&quot;??_);_(@_)" sourceLinked="1"/>
        <c:majorTickMark val="out"/>
        <c:minorTickMark val="none"/>
        <c:tickLblPos val="nextTo"/>
        <c:crossAx val="1694575168"/>
        <c:crosses val="autoZero"/>
        <c:crossBetween val="between"/>
      </c:valAx>
      <c:catAx>
        <c:axId val="1694575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941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[prishtina_real_estate_2025_pivots.xlsx]Pivot Tables!PivotTable43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 different property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0E-5D44-A845-CA8B16365EF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70E-5D44-A845-CA8B16365EF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70E-5D44-A845-CA8B16365E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Tables'!$M$3:$M$6</c:f>
              <c:strCache>
                <c:ptCount val="3"/>
                <c:pt idx="0">
                  <c:v>Like New</c:v>
                </c:pt>
                <c:pt idx="1">
                  <c:v>New</c:v>
                </c:pt>
                <c:pt idx="2">
                  <c:v>Used</c:v>
                </c:pt>
              </c:strCache>
            </c:strRef>
          </c:cat>
          <c:val>
            <c:numRef>
              <c:f>'Pivot Tables'!$N$3:$N$6</c:f>
              <c:numCache>
                <c:formatCode>_(* #,##0_);_(* \(#,##0\);_(* "-"??_);_(@_)</c:formatCode>
                <c:ptCount val="3"/>
                <c:pt idx="0">
                  <c:v>176</c:v>
                </c:pt>
                <c:pt idx="1">
                  <c:v>178</c:v>
                </c:pt>
                <c:pt idx="2">
                  <c:v>146</c:v>
                </c:pt>
              </c:numCache>
            </c:numRef>
          </c:val>
          <c:extLst>
            <c:ext xmlns:c16="http://schemas.microsoft.com/office/drawing/2014/chart" uri="{C3380CC4-5D6E-409C-BE32-E72D297353CC}">
              <c16:uniqueId val="{00000006-C70E-5D44-A845-CA8B16365EF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812800</xdr:colOff>
      <xdr:row>16</xdr:row>
      <xdr:rowOff>0</xdr:rowOff>
    </xdr:from>
    <xdr:to>
      <xdr:col>5</xdr:col>
      <xdr:colOff>0</xdr:colOff>
      <xdr:row>30</xdr:row>
      <xdr:rowOff>76200</xdr:rowOff>
    </xdr:to>
    <xdr:graphicFrame macro="">
      <xdr:nvGraphicFramePr>
        <xdr:cNvPr id="2" name="Chart 1">
          <a:extLst>
            <a:ext uri="{FF2B5EF4-FFF2-40B4-BE49-F238E27FC236}">
              <a16:creationId xmlns:a16="http://schemas.microsoft.com/office/drawing/2014/main" id="{0AD6D6E1-FD0A-E8C4-2DDB-96624467B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838200</xdr:colOff>
      <xdr:row>15</xdr:row>
      <xdr:rowOff>76200</xdr:rowOff>
    </xdr:from>
    <xdr:to>
      <xdr:col>10</xdr:col>
      <xdr:colOff>1028700</xdr:colOff>
      <xdr:row>29</xdr:row>
      <xdr:rowOff>152400</xdr:rowOff>
    </xdr:to>
    <xdr:graphicFrame macro="">
      <xdr:nvGraphicFramePr>
        <xdr:cNvPr id="3" name="Chart 2">
          <a:extLst>
            <a:ext uri="{FF2B5EF4-FFF2-40B4-BE49-F238E27FC236}">
              <a16:creationId xmlns:a16="http://schemas.microsoft.com/office/drawing/2014/main" id="{BC50C0DF-A38E-273D-197E-181CD3C2B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440358</xdr:colOff>
      <xdr:row>15</xdr:row>
      <xdr:rowOff>36443</xdr:rowOff>
    </xdr:from>
    <xdr:to>
      <xdr:col>14</xdr:col>
      <xdr:colOff>1160944</xdr:colOff>
      <xdr:row>29</xdr:row>
      <xdr:rowOff>73991</xdr:rowOff>
    </xdr:to>
    <xdr:graphicFrame macro="">
      <xdr:nvGraphicFramePr>
        <xdr:cNvPr id="5" name="Chart 4">
          <a:extLst>
            <a:ext uri="{FF2B5EF4-FFF2-40B4-BE49-F238E27FC236}">
              <a16:creationId xmlns:a16="http://schemas.microsoft.com/office/drawing/2014/main" id="{1533E923-8CFA-24D7-C06B-54BD18B15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227445</xdr:colOff>
      <xdr:row>31</xdr:row>
      <xdr:rowOff>176645</xdr:rowOff>
    </xdr:from>
    <xdr:to>
      <xdr:col>5</xdr:col>
      <xdr:colOff>32626</xdr:colOff>
      <xdr:row>40</xdr:row>
      <xdr:rowOff>0</xdr:rowOff>
    </xdr:to>
    <mc:AlternateContent xmlns:mc="http://schemas.openxmlformats.org/markup-compatibility/2006">
      <mc:Choice xmlns:a14="http://schemas.microsoft.com/office/drawing/2010/main" Requires="a14">
        <xdr:graphicFrame macro="">
          <xdr:nvGraphicFramePr>
            <xdr:cNvPr id="6" name="Neighborhood">
              <a:extLst>
                <a:ext uri="{FF2B5EF4-FFF2-40B4-BE49-F238E27FC236}">
                  <a16:creationId xmlns:a16="http://schemas.microsoft.com/office/drawing/2014/main" id="{C6A95BAA-5953-083C-C693-6ABD0FD15B57}"/>
                </a:ext>
              </a:extLst>
            </xdr:cNvPr>
            <xdr:cNvGraphicFramePr/>
          </xdr:nvGraphicFramePr>
          <xdr:xfrm>
            <a:off x="0" y="0"/>
            <a:ext cx="0" cy="0"/>
          </xdr:xfrm>
          <a:graphic>
            <a:graphicData uri="http://schemas.microsoft.com/office/drawing/2010/slicer">
              <sle:slicer xmlns:sle="http://schemas.microsoft.com/office/drawing/2010/slicer" name="Neighborhood"/>
            </a:graphicData>
          </a:graphic>
        </xdr:graphicFrame>
      </mc:Choice>
      <mc:Fallback>
        <xdr:sp macro="" textlink="">
          <xdr:nvSpPr>
            <xdr:cNvPr id="0" name=""/>
            <xdr:cNvSpPr>
              <a:spLocks noTextEdit="1"/>
            </xdr:cNvSpPr>
          </xdr:nvSpPr>
          <xdr:spPr>
            <a:xfrm>
              <a:off x="1055706" y="6167732"/>
              <a:ext cx="3642790" cy="1562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402167</xdr:colOff>
      <xdr:row>32</xdr:row>
      <xdr:rowOff>24246</xdr:rowOff>
    </xdr:from>
    <xdr:to>
      <xdr:col>9</xdr:col>
      <xdr:colOff>404091</xdr:colOff>
      <xdr:row>39</xdr:row>
      <xdr:rowOff>57729</xdr:rowOff>
    </xdr:to>
    <mc:AlternateContent xmlns:mc="http://schemas.openxmlformats.org/markup-compatibility/2006">
      <mc:Choice xmlns:a14="http://schemas.microsoft.com/office/drawing/2010/main" Requires="a14">
        <xdr:graphicFrame macro="">
          <xdr:nvGraphicFramePr>
            <xdr:cNvPr id="7" name="Bedrooms">
              <a:extLst>
                <a:ext uri="{FF2B5EF4-FFF2-40B4-BE49-F238E27FC236}">
                  <a16:creationId xmlns:a16="http://schemas.microsoft.com/office/drawing/2014/main" id="{0714ADCA-1E99-237E-5231-7800871B02A8}"/>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dr:sp macro="" textlink="">
          <xdr:nvSpPr>
            <xdr:cNvPr id="0" name=""/>
            <xdr:cNvSpPr>
              <a:spLocks noTextEdit="1"/>
            </xdr:cNvSpPr>
          </xdr:nvSpPr>
          <xdr:spPr>
            <a:xfrm>
              <a:off x="5068037" y="6208594"/>
              <a:ext cx="3453011" cy="1386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422949</xdr:colOff>
      <xdr:row>31</xdr:row>
      <xdr:rowOff>160483</xdr:rowOff>
    </xdr:from>
    <xdr:to>
      <xdr:col>13</xdr:col>
      <xdr:colOff>250151</xdr:colOff>
      <xdr:row>38</xdr:row>
      <xdr:rowOff>115456</xdr:rowOff>
    </xdr:to>
    <mc:AlternateContent xmlns:mc="http://schemas.openxmlformats.org/markup-compatibility/2006">
      <mc:Choice xmlns:a14="http://schemas.microsoft.com/office/drawing/2010/main" Requires="a14">
        <xdr:graphicFrame macro="">
          <xdr:nvGraphicFramePr>
            <xdr:cNvPr id="8" name="Condition">
              <a:extLst>
                <a:ext uri="{FF2B5EF4-FFF2-40B4-BE49-F238E27FC236}">
                  <a16:creationId xmlns:a16="http://schemas.microsoft.com/office/drawing/2014/main" id="{6B0599B8-2F1E-6BA3-DCAB-6248FEE8CF95}"/>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9464797" y="6151570"/>
              <a:ext cx="3430137" cy="130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300788</xdr:colOff>
      <xdr:row>7</xdr:row>
      <xdr:rowOff>102268</xdr:rowOff>
    </xdr:from>
    <xdr:to>
      <xdr:col>15</xdr:col>
      <xdr:colOff>467894</xdr:colOff>
      <xdr:row>38</xdr:row>
      <xdr:rowOff>102269</xdr:rowOff>
    </xdr:to>
    <xdr:sp macro="" textlink="">
      <xdr:nvSpPr>
        <xdr:cNvPr id="19" name="Rectangle 18">
          <a:extLst>
            <a:ext uri="{FF2B5EF4-FFF2-40B4-BE49-F238E27FC236}">
              <a16:creationId xmlns:a16="http://schemas.microsoft.com/office/drawing/2014/main" id="{CA837457-00BB-7541-9A5D-973DBB3466E7}"/>
            </a:ext>
          </a:extLst>
        </xdr:cNvPr>
        <xdr:cNvSpPr/>
      </xdr:nvSpPr>
      <xdr:spPr>
        <a:xfrm>
          <a:off x="9307762" y="1388979"/>
          <a:ext cx="3442369" cy="5698290"/>
        </a:xfrm>
        <a:prstGeom prst="rect">
          <a:avLst/>
        </a:prstGeom>
        <a:solidFill>
          <a:schemeClr val="accent1">
            <a:lumMod val="60000"/>
            <a:lumOff val="40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p>
      </xdr:txBody>
    </xdr:sp>
    <xdr:clientData/>
  </xdr:twoCellAnchor>
  <xdr:twoCellAnchor>
    <xdr:from>
      <xdr:col>1</xdr:col>
      <xdr:colOff>33421</xdr:colOff>
      <xdr:row>7</xdr:row>
      <xdr:rowOff>116973</xdr:rowOff>
    </xdr:from>
    <xdr:to>
      <xdr:col>11</xdr:col>
      <xdr:colOff>100263</xdr:colOff>
      <xdr:row>38</xdr:row>
      <xdr:rowOff>116974</xdr:rowOff>
    </xdr:to>
    <xdr:sp macro="" textlink="">
      <xdr:nvSpPr>
        <xdr:cNvPr id="18" name="Rectangle 17">
          <a:extLst>
            <a:ext uri="{FF2B5EF4-FFF2-40B4-BE49-F238E27FC236}">
              <a16:creationId xmlns:a16="http://schemas.microsoft.com/office/drawing/2014/main" id="{76F54A9C-BA74-9812-A428-92ED362B850F}"/>
            </a:ext>
          </a:extLst>
        </xdr:cNvPr>
        <xdr:cNvSpPr/>
      </xdr:nvSpPr>
      <xdr:spPr>
        <a:xfrm>
          <a:off x="852237" y="1403684"/>
          <a:ext cx="8255000" cy="5698290"/>
        </a:xfrm>
        <a:prstGeom prst="rect">
          <a:avLst/>
        </a:prstGeom>
        <a:solidFill>
          <a:schemeClr val="accent1">
            <a:lumMod val="60000"/>
            <a:lumOff val="40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88899</xdr:colOff>
      <xdr:row>1</xdr:row>
      <xdr:rowOff>139700</xdr:rowOff>
    </xdr:from>
    <xdr:to>
      <xdr:col>15</xdr:col>
      <xdr:colOff>401051</xdr:colOff>
      <xdr:row>7</xdr:row>
      <xdr:rowOff>0</xdr:rowOff>
    </xdr:to>
    <xdr:sp macro="" textlink="">
      <xdr:nvSpPr>
        <xdr:cNvPr id="2" name="Rounded Rectangle 1">
          <a:extLst>
            <a:ext uri="{FF2B5EF4-FFF2-40B4-BE49-F238E27FC236}">
              <a16:creationId xmlns:a16="http://schemas.microsoft.com/office/drawing/2014/main" id="{55CE218B-2729-1176-E22E-B464A6EAFD3E}"/>
            </a:ext>
          </a:extLst>
        </xdr:cNvPr>
        <xdr:cNvSpPr/>
      </xdr:nvSpPr>
      <xdr:spPr>
        <a:xfrm>
          <a:off x="907715" y="323516"/>
          <a:ext cx="11775573" cy="963195"/>
        </a:xfrm>
        <a:prstGeom prst="roundRect">
          <a:avLst/>
        </a:prstGeom>
        <a:solidFill>
          <a:schemeClr val="accent1">
            <a:lumMod val="60000"/>
            <a:lumOff val="40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334210</xdr:colOff>
      <xdr:row>14</xdr:row>
      <xdr:rowOff>116974</xdr:rowOff>
    </xdr:from>
    <xdr:to>
      <xdr:col>15</xdr:col>
      <xdr:colOff>434474</xdr:colOff>
      <xdr:row>22</xdr:row>
      <xdr:rowOff>148147</xdr:rowOff>
    </xdr:to>
    <mc:AlternateContent xmlns:mc="http://schemas.openxmlformats.org/markup-compatibility/2006">
      <mc:Choice xmlns:a14="http://schemas.microsoft.com/office/drawing/2010/main" Requires="a14">
        <xdr:graphicFrame macro="">
          <xdr:nvGraphicFramePr>
            <xdr:cNvPr id="3" name="Neighborhood 1">
              <a:extLst>
                <a:ext uri="{FF2B5EF4-FFF2-40B4-BE49-F238E27FC236}">
                  <a16:creationId xmlns:a16="http://schemas.microsoft.com/office/drawing/2014/main" id="{A64DF608-E86D-F646-BBC8-D71316CC194E}"/>
                </a:ext>
              </a:extLst>
            </xdr:cNvPr>
            <xdr:cNvGraphicFramePr/>
          </xdr:nvGraphicFramePr>
          <xdr:xfrm>
            <a:off x="0" y="0"/>
            <a:ext cx="0" cy="0"/>
          </xdr:xfrm>
          <a:graphic>
            <a:graphicData uri="http://schemas.microsoft.com/office/drawing/2010/slicer">
              <sle:slicer xmlns:sle="http://schemas.microsoft.com/office/drawing/2010/slicer" name="Neighborhood 1"/>
            </a:graphicData>
          </a:graphic>
        </xdr:graphicFrame>
      </mc:Choice>
      <mc:Fallback>
        <xdr:sp macro="" textlink="">
          <xdr:nvSpPr>
            <xdr:cNvPr id="0" name=""/>
            <xdr:cNvSpPr>
              <a:spLocks noTextEdit="1"/>
            </xdr:cNvSpPr>
          </xdr:nvSpPr>
          <xdr:spPr>
            <a:xfrm>
              <a:off x="9341184" y="2690395"/>
              <a:ext cx="3375527" cy="150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319504</xdr:colOff>
      <xdr:row>31</xdr:row>
      <xdr:rowOff>2046</xdr:rowOff>
    </xdr:from>
    <xdr:to>
      <xdr:col>15</xdr:col>
      <xdr:colOff>463823</xdr:colOff>
      <xdr:row>38</xdr:row>
      <xdr:rowOff>48998</xdr:rowOff>
    </xdr:to>
    <mc:AlternateContent xmlns:mc="http://schemas.openxmlformats.org/markup-compatibility/2006">
      <mc:Choice xmlns:a14="http://schemas.microsoft.com/office/drawing/2010/main" Requires="a14">
        <xdr:graphicFrame macro="">
          <xdr:nvGraphicFramePr>
            <xdr:cNvPr id="4" name="Bedrooms 1">
              <a:extLst>
                <a:ext uri="{FF2B5EF4-FFF2-40B4-BE49-F238E27FC236}">
                  <a16:creationId xmlns:a16="http://schemas.microsoft.com/office/drawing/2014/main" id="{C5E848CF-66B5-3C4D-B7E2-D72905795AC2}"/>
                </a:ext>
              </a:extLst>
            </xdr:cNvPr>
            <xdr:cNvGraphicFramePr/>
          </xdr:nvGraphicFramePr>
          <xdr:xfrm>
            <a:off x="0" y="0"/>
            <a:ext cx="0" cy="0"/>
          </xdr:xfrm>
          <a:graphic>
            <a:graphicData uri="http://schemas.microsoft.com/office/drawing/2010/slicer">
              <sle:slicer xmlns:sle="http://schemas.microsoft.com/office/drawing/2010/slicer" name="Bedrooms 1"/>
            </a:graphicData>
          </a:graphic>
        </xdr:graphicFrame>
      </mc:Choice>
      <mc:Fallback>
        <xdr:sp macro="" textlink="">
          <xdr:nvSpPr>
            <xdr:cNvPr id="0" name=""/>
            <xdr:cNvSpPr>
              <a:spLocks noTextEdit="1"/>
            </xdr:cNvSpPr>
          </xdr:nvSpPr>
          <xdr:spPr>
            <a:xfrm>
              <a:off x="9326478" y="5700335"/>
              <a:ext cx="3419582" cy="1333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324812</xdr:colOff>
      <xdr:row>23</xdr:row>
      <xdr:rowOff>94247</xdr:rowOff>
    </xdr:from>
    <xdr:to>
      <xdr:col>15</xdr:col>
      <xdr:colOff>451185</xdr:colOff>
      <xdr:row>30</xdr:row>
      <xdr:rowOff>62689</xdr:rowOff>
    </xdr:to>
    <mc:AlternateContent xmlns:mc="http://schemas.openxmlformats.org/markup-compatibility/2006">
      <mc:Choice xmlns:a14="http://schemas.microsoft.com/office/drawing/2010/main" Requires="a14">
        <xdr:graphicFrame macro="">
          <xdr:nvGraphicFramePr>
            <xdr:cNvPr id="5" name="Condition 1">
              <a:extLst>
                <a:ext uri="{FF2B5EF4-FFF2-40B4-BE49-F238E27FC236}">
                  <a16:creationId xmlns:a16="http://schemas.microsoft.com/office/drawing/2014/main" id="{3854AE01-46EE-D14D-831A-CE2925F9B168}"/>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dr:sp macro="" textlink="">
          <xdr:nvSpPr>
            <xdr:cNvPr id="0" name=""/>
            <xdr:cNvSpPr>
              <a:spLocks noTextEdit="1"/>
            </xdr:cNvSpPr>
          </xdr:nvSpPr>
          <xdr:spPr>
            <a:xfrm>
              <a:off x="9331786" y="4322010"/>
              <a:ext cx="3401636" cy="1255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73081</xdr:colOff>
      <xdr:row>23</xdr:row>
      <xdr:rowOff>120556</xdr:rowOff>
    </xdr:from>
    <xdr:to>
      <xdr:col>11</xdr:col>
      <xdr:colOff>33421</xdr:colOff>
      <xdr:row>38</xdr:row>
      <xdr:rowOff>39879</xdr:rowOff>
    </xdr:to>
    <xdr:graphicFrame macro="">
      <xdr:nvGraphicFramePr>
        <xdr:cNvPr id="6" name="Chart 5">
          <a:extLst>
            <a:ext uri="{FF2B5EF4-FFF2-40B4-BE49-F238E27FC236}">
              <a16:creationId xmlns:a16="http://schemas.microsoft.com/office/drawing/2014/main" id="{2FD610C8-10B2-0A47-80B9-12EFB03E2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83958</xdr:colOff>
      <xdr:row>8</xdr:row>
      <xdr:rowOff>52457</xdr:rowOff>
    </xdr:from>
    <xdr:to>
      <xdr:col>6</xdr:col>
      <xdr:colOff>334210</xdr:colOff>
      <xdr:row>22</xdr:row>
      <xdr:rowOff>155596</xdr:rowOff>
    </xdr:to>
    <xdr:graphicFrame macro="">
      <xdr:nvGraphicFramePr>
        <xdr:cNvPr id="7" name="Chart 6">
          <a:extLst>
            <a:ext uri="{FF2B5EF4-FFF2-40B4-BE49-F238E27FC236}">
              <a16:creationId xmlns:a16="http://schemas.microsoft.com/office/drawing/2014/main" id="{CE64CB4F-A914-614E-A1B0-D38186160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451185</xdr:colOff>
      <xdr:row>8</xdr:row>
      <xdr:rowOff>50132</xdr:rowOff>
    </xdr:from>
    <xdr:to>
      <xdr:col>11</xdr:col>
      <xdr:colOff>33422</xdr:colOff>
      <xdr:row>22</xdr:row>
      <xdr:rowOff>150395</xdr:rowOff>
    </xdr:to>
    <xdr:graphicFrame macro="">
      <xdr:nvGraphicFramePr>
        <xdr:cNvPr id="8" name="Chart 7">
          <a:extLst>
            <a:ext uri="{FF2B5EF4-FFF2-40B4-BE49-F238E27FC236}">
              <a16:creationId xmlns:a16="http://schemas.microsoft.com/office/drawing/2014/main" id="{540E1E90-2144-D64C-BF7B-A028E2ED1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339558</xdr:colOff>
      <xdr:row>8</xdr:row>
      <xdr:rowOff>76869</xdr:rowOff>
    </xdr:from>
    <xdr:to>
      <xdr:col>13</xdr:col>
      <xdr:colOff>288758</xdr:colOff>
      <xdr:row>13</xdr:row>
      <xdr:rowOff>127669</xdr:rowOff>
    </xdr:to>
    <xdr:sp macro="" textlink="">
      <xdr:nvSpPr>
        <xdr:cNvPr id="10" name="Rounded Rectangle 9">
          <a:extLst>
            <a:ext uri="{FF2B5EF4-FFF2-40B4-BE49-F238E27FC236}">
              <a16:creationId xmlns:a16="http://schemas.microsoft.com/office/drawing/2014/main" id="{44C0B4FC-F74C-F245-954B-0614A4C97356}"/>
            </a:ext>
          </a:extLst>
        </xdr:cNvPr>
        <xdr:cNvSpPr/>
      </xdr:nvSpPr>
      <xdr:spPr>
        <a:xfrm>
          <a:off x="9346532" y="1547395"/>
          <a:ext cx="1586831" cy="969879"/>
        </a:xfrm>
        <a:prstGeom prst="roundRect">
          <a:avLst/>
        </a:prstGeom>
        <a:solidFill>
          <a:schemeClr val="accent1">
            <a:lumMod val="60000"/>
            <a:lumOff val="40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459205</xdr:colOff>
      <xdr:row>8</xdr:row>
      <xdr:rowOff>64169</xdr:rowOff>
    </xdr:from>
    <xdr:to>
      <xdr:col>15</xdr:col>
      <xdr:colOff>408405</xdr:colOff>
      <xdr:row>13</xdr:row>
      <xdr:rowOff>114969</xdr:rowOff>
    </xdr:to>
    <xdr:sp macro="" textlink="">
      <xdr:nvSpPr>
        <xdr:cNvPr id="11" name="Rounded Rectangle 10">
          <a:extLst>
            <a:ext uri="{FF2B5EF4-FFF2-40B4-BE49-F238E27FC236}">
              <a16:creationId xmlns:a16="http://schemas.microsoft.com/office/drawing/2014/main" id="{B7026A79-F76A-5B48-82C4-D9A3AEAE1A4F}"/>
            </a:ext>
          </a:extLst>
        </xdr:cNvPr>
        <xdr:cNvSpPr/>
      </xdr:nvSpPr>
      <xdr:spPr>
        <a:xfrm>
          <a:off x="11103810" y="1534695"/>
          <a:ext cx="1586832" cy="969879"/>
        </a:xfrm>
        <a:prstGeom prst="roundRect">
          <a:avLst/>
        </a:prstGeom>
        <a:solidFill>
          <a:schemeClr val="accent1">
            <a:lumMod val="60000"/>
            <a:lumOff val="40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301458</xdr:colOff>
      <xdr:row>10</xdr:row>
      <xdr:rowOff>51468</xdr:rowOff>
    </xdr:from>
    <xdr:to>
      <xdr:col>13</xdr:col>
      <xdr:colOff>364958</xdr:colOff>
      <xdr:row>12</xdr:row>
      <xdr:rowOff>114969</xdr:rowOff>
    </xdr:to>
    <xdr:sp macro="" textlink="">
      <xdr:nvSpPr>
        <xdr:cNvPr id="12" name="TextBox 11">
          <a:extLst>
            <a:ext uri="{FF2B5EF4-FFF2-40B4-BE49-F238E27FC236}">
              <a16:creationId xmlns:a16="http://schemas.microsoft.com/office/drawing/2014/main" id="{88AE6C41-FE9E-0780-E0CF-BC93932D5DD4}"/>
            </a:ext>
          </a:extLst>
        </xdr:cNvPr>
        <xdr:cNvSpPr txBox="1"/>
      </xdr:nvSpPr>
      <xdr:spPr>
        <a:xfrm>
          <a:off x="9308432" y="1889626"/>
          <a:ext cx="1701131"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a:solidFill>
                <a:schemeClr val="bg1">
                  <a:lumMod val="95000"/>
                </a:schemeClr>
              </a:solidFill>
            </a:rPr>
            <a:t> € 77,789,708 </a:t>
          </a:r>
        </a:p>
      </xdr:txBody>
    </xdr:sp>
    <xdr:clientData/>
  </xdr:twoCellAnchor>
  <xdr:twoCellAnchor>
    <xdr:from>
      <xdr:col>13</xdr:col>
      <xdr:colOff>446505</xdr:colOff>
      <xdr:row>10</xdr:row>
      <xdr:rowOff>38768</xdr:rowOff>
    </xdr:from>
    <xdr:to>
      <xdr:col>15</xdr:col>
      <xdr:colOff>510005</xdr:colOff>
      <xdr:row>12</xdr:row>
      <xdr:rowOff>102269</xdr:rowOff>
    </xdr:to>
    <xdr:sp macro="" textlink="">
      <xdr:nvSpPr>
        <xdr:cNvPr id="13" name="TextBox 12">
          <a:extLst>
            <a:ext uri="{FF2B5EF4-FFF2-40B4-BE49-F238E27FC236}">
              <a16:creationId xmlns:a16="http://schemas.microsoft.com/office/drawing/2014/main" id="{0E845AFF-C80F-B742-8E3B-5577D3CFD7F8}"/>
            </a:ext>
          </a:extLst>
        </xdr:cNvPr>
        <xdr:cNvSpPr txBox="1"/>
      </xdr:nvSpPr>
      <xdr:spPr>
        <a:xfrm>
          <a:off x="11091110" y="1876926"/>
          <a:ext cx="1701132" cy="431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a:solidFill>
                <a:schemeClr val="bg1">
                  <a:lumMod val="95000"/>
                </a:schemeClr>
              </a:solidFill>
            </a:rPr>
            <a:t>         500 </a:t>
          </a:r>
        </a:p>
      </xdr:txBody>
    </xdr:sp>
    <xdr:clientData/>
  </xdr:twoCellAnchor>
  <xdr:twoCellAnchor>
    <xdr:from>
      <xdr:col>11</xdr:col>
      <xdr:colOff>390358</xdr:colOff>
      <xdr:row>8</xdr:row>
      <xdr:rowOff>114969</xdr:rowOff>
    </xdr:from>
    <xdr:to>
      <xdr:col>12</xdr:col>
      <xdr:colOff>612274</xdr:colOff>
      <xdr:row>9</xdr:row>
      <xdr:rowOff>114969</xdr:rowOff>
    </xdr:to>
    <xdr:sp macro="" textlink="">
      <xdr:nvSpPr>
        <xdr:cNvPr id="14" name="TextBox 13">
          <a:extLst>
            <a:ext uri="{FF2B5EF4-FFF2-40B4-BE49-F238E27FC236}">
              <a16:creationId xmlns:a16="http://schemas.microsoft.com/office/drawing/2014/main" id="{999EA12D-1E1F-FC9F-E4DA-E746FC7106A3}"/>
            </a:ext>
          </a:extLst>
        </xdr:cNvPr>
        <xdr:cNvSpPr txBox="1"/>
      </xdr:nvSpPr>
      <xdr:spPr>
        <a:xfrm>
          <a:off x="9397332" y="1585495"/>
          <a:ext cx="1040731" cy="183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Total Sale </a:t>
          </a:r>
        </a:p>
      </xdr:txBody>
    </xdr:sp>
    <xdr:clientData/>
  </xdr:twoCellAnchor>
  <xdr:twoCellAnchor>
    <xdr:from>
      <xdr:col>13</xdr:col>
      <xdr:colOff>522705</xdr:colOff>
      <xdr:row>8</xdr:row>
      <xdr:rowOff>102269</xdr:rowOff>
    </xdr:from>
    <xdr:to>
      <xdr:col>15</xdr:col>
      <xdr:colOff>357605</xdr:colOff>
      <xdr:row>9</xdr:row>
      <xdr:rowOff>171784</xdr:rowOff>
    </xdr:to>
    <xdr:sp macro="" textlink="">
      <xdr:nvSpPr>
        <xdr:cNvPr id="15" name="TextBox 14">
          <a:extLst>
            <a:ext uri="{FF2B5EF4-FFF2-40B4-BE49-F238E27FC236}">
              <a16:creationId xmlns:a16="http://schemas.microsoft.com/office/drawing/2014/main" id="{7DE670DA-342C-B949-8A3B-F4811B026BB8}"/>
            </a:ext>
          </a:extLst>
        </xdr:cNvPr>
        <xdr:cNvSpPr txBox="1"/>
      </xdr:nvSpPr>
      <xdr:spPr>
        <a:xfrm>
          <a:off x="11167310" y="1572795"/>
          <a:ext cx="1472532" cy="253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Total sale Property</a:t>
          </a:r>
        </a:p>
      </xdr:txBody>
    </xdr:sp>
    <xdr:clientData/>
  </xdr:twoCellAnchor>
  <xdr:twoCellAnchor>
    <xdr:from>
      <xdr:col>4</xdr:col>
      <xdr:colOff>214563</xdr:colOff>
      <xdr:row>2</xdr:row>
      <xdr:rowOff>152400</xdr:rowOff>
    </xdr:from>
    <xdr:to>
      <xdr:col>12</xdr:col>
      <xdr:colOff>189163</xdr:colOff>
      <xdr:row>6</xdr:row>
      <xdr:rowOff>25400</xdr:rowOff>
    </xdr:to>
    <xdr:sp macro="" textlink="">
      <xdr:nvSpPr>
        <xdr:cNvPr id="16" name="TextBox 15">
          <a:extLst>
            <a:ext uri="{FF2B5EF4-FFF2-40B4-BE49-F238E27FC236}">
              <a16:creationId xmlns:a16="http://schemas.microsoft.com/office/drawing/2014/main" id="{C07A6267-5B15-6919-4CE6-A981539493D6}"/>
            </a:ext>
          </a:extLst>
        </xdr:cNvPr>
        <xdr:cNvSpPr txBox="1"/>
      </xdr:nvSpPr>
      <xdr:spPr>
        <a:xfrm>
          <a:off x="3489826" y="520032"/>
          <a:ext cx="6525126" cy="608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lumMod val="95000"/>
                </a:schemeClr>
              </a:solidFill>
            </a:rPr>
            <a:t>PRISHTINA</a:t>
          </a:r>
          <a:r>
            <a:rPr lang="en-US" sz="3200" b="1" baseline="0">
              <a:solidFill>
                <a:schemeClr val="bg1">
                  <a:lumMod val="95000"/>
                </a:schemeClr>
              </a:solidFill>
            </a:rPr>
            <a:t> REAL ESTATE SALES 2025</a:t>
          </a:r>
          <a:endParaRPr lang="en-US" sz="3200" b="1">
            <a:solidFill>
              <a:schemeClr val="bg1">
                <a:lumMod val="9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0.017444212965" createdVersion="8" refreshedVersion="8" minRefreshableVersion="3" recordCount="500" xr:uid="{E2708EFD-561F-7B44-9BBA-3B8ADD50E0BF}">
  <cacheSource type="worksheet">
    <worksheetSource name="Table1"/>
  </cacheSource>
  <cacheFields count="9">
    <cacheField name="Date" numFmtId="164">
      <sharedItems containsSemiMixedTypes="0" containsNonDate="0" containsDate="1" containsString="0" minDate="2025-01-01T00:00:00" maxDate="2026-01-01T00:00:00"/>
    </cacheField>
    <cacheField name="Neighborhood" numFmtId="0">
      <sharedItems count="8">
        <s v="Kalabria"/>
        <s v="Arbëria"/>
        <s v="Qendra"/>
        <s v="Bregu i Diellit"/>
        <s v="Velania"/>
        <s v="Dardania"/>
        <s v="Mati 1"/>
        <s v="Ulpiana"/>
      </sharedItems>
    </cacheField>
    <cacheField name="PropertyType" numFmtId="0">
      <sharedItems count="2">
        <s v="Apartment"/>
        <s v="House"/>
      </sharedItems>
    </cacheField>
    <cacheField name="Size_m2" numFmtId="0">
      <sharedItems containsSemiMixedTypes="0" containsString="0" containsNumber="1" containsInteger="1" minValue="35" maxValue="199"/>
    </cacheField>
    <cacheField name="Price_per_m2" numFmtId="165">
      <sharedItems containsSemiMixedTypes="0" containsString="0" containsNumber="1" containsInteger="1" minValue="852" maxValue="1847"/>
    </cacheField>
    <cacheField name="Bedrooms" numFmtId="0">
      <sharedItems containsSemiMixedTypes="0" containsString="0" containsNumber="1" containsInteger="1" minValue="1" maxValue="4" count="4">
        <n v="3"/>
        <n v="1"/>
        <n v="2"/>
        <n v="4"/>
      </sharedItems>
    </cacheField>
    <cacheField name="Condition" numFmtId="0">
      <sharedItems count="3">
        <s v="Used"/>
        <s v="New"/>
        <s v="Like New"/>
      </sharedItems>
    </cacheField>
    <cacheField name="Seller_Type" numFmtId="0">
      <sharedItems count="2">
        <s v="Private"/>
        <s v="Agency"/>
      </sharedItems>
    </cacheField>
    <cacheField name="Total_Price" numFmtId="165">
      <sharedItems containsSemiMixedTypes="0" containsString="0" containsNumber="1" containsInteger="1" minValue="32042" maxValue="365762"/>
    </cacheField>
  </cacheFields>
  <extLst>
    <ext xmlns:x14="http://schemas.microsoft.com/office/spreadsheetml/2009/9/main" uri="{725AE2AE-9491-48be-B2B4-4EB974FC3084}">
      <x14:pivotCacheDefinition pivotCacheId="253896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pache POI" refreshedDate="1774872157728" createdVersion="3" refreshedVersion="3" minRefreshableVersion="3" recordCount="0" xr:uid="{00000000-000A-0000-FFFF-FFFF06000000}">
  <cacheSource type="worksheet">
    <worksheetSource ref="A1:I502" sheet="Prishtina_real_estate_2025"/>
  </cacheSource>
  <cacheFields count="9">
    <cacheField name="Date" numFmtId="0">
      <sharedItems/>
    </cacheField>
    <cacheField name="Neighborhood" numFmtId="0">
      <sharedItems/>
    </cacheField>
    <cacheField name="PropertyType" numFmtId="0">
      <sharedItems/>
    </cacheField>
    <cacheField name="Size_m2" numFmtId="0">
      <sharedItems/>
    </cacheField>
    <cacheField name="Price_per_m2" numFmtId="0">
      <sharedItems/>
    </cacheField>
    <cacheField name="Bedrooms" numFmtId="0">
      <sharedItems/>
    </cacheField>
    <cacheField name="Condition" numFmtId="0">
      <sharedItems/>
    </cacheField>
    <cacheField name="Seller_Type" numFmtId="0">
      <sharedItems/>
    </cacheField>
    <cacheField name="Total_Pri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n v="108"/>
    <n v="1723"/>
    <x v="0"/>
    <x v="0"/>
    <x v="0"/>
    <n v="186084"/>
  </r>
  <r>
    <d v="2025-01-01T17:30:25"/>
    <x v="1"/>
    <x v="0"/>
    <n v="51"/>
    <n v="1191"/>
    <x v="1"/>
    <x v="1"/>
    <x v="0"/>
    <n v="60741"/>
  </r>
  <r>
    <d v="2025-01-02T11:00:51"/>
    <x v="2"/>
    <x v="0"/>
    <n v="118"/>
    <n v="1830"/>
    <x v="2"/>
    <x v="0"/>
    <x v="1"/>
    <n v="215940"/>
  </r>
  <r>
    <d v="2025-01-03T04:31:16"/>
    <x v="0"/>
    <x v="0"/>
    <n v="103"/>
    <n v="876"/>
    <x v="0"/>
    <x v="1"/>
    <x v="1"/>
    <n v="90228"/>
  </r>
  <r>
    <d v="2025-01-03T22:01:41"/>
    <x v="3"/>
    <x v="0"/>
    <n v="68"/>
    <n v="1674"/>
    <x v="0"/>
    <x v="2"/>
    <x v="1"/>
    <n v="113832"/>
  </r>
  <r>
    <d v="2025-01-04T15:32:06"/>
    <x v="4"/>
    <x v="0"/>
    <n v="40"/>
    <n v="1136"/>
    <x v="3"/>
    <x v="1"/>
    <x v="0"/>
    <n v="45440"/>
  </r>
  <r>
    <d v="2025-01-05T09:02:32"/>
    <x v="2"/>
    <x v="1"/>
    <n v="87"/>
    <n v="1495"/>
    <x v="0"/>
    <x v="1"/>
    <x v="1"/>
    <n v="130065"/>
  </r>
  <r>
    <d v="2025-01-06T02:32:57"/>
    <x v="2"/>
    <x v="0"/>
    <n v="160"/>
    <n v="1580"/>
    <x v="0"/>
    <x v="0"/>
    <x v="0"/>
    <n v="252800"/>
  </r>
  <r>
    <d v="2025-01-06T20:03:22"/>
    <x v="0"/>
    <x v="1"/>
    <n v="77"/>
    <n v="1017"/>
    <x v="2"/>
    <x v="0"/>
    <x v="1"/>
    <n v="78309"/>
  </r>
  <r>
    <d v="2025-01-07T13:33:47"/>
    <x v="5"/>
    <x v="0"/>
    <n v="149"/>
    <n v="1459"/>
    <x v="0"/>
    <x v="2"/>
    <x v="1"/>
    <n v="217391"/>
  </r>
  <r>
    <d v="2025-01-08T07:04:13"/>
    <x v="3"/>
    <x v="1"/>
    <n v="145"/>
    <n v="1117"/>
    <x v="2"/>
    <x v="1"/>
    <x v="1"/>
    <n v="161965"/>
  </r>
  <r>
    <d v="2025-01-09T00:34:38"/>
    <x v="0"/>
    <x v="1"/>
    <n v="185"/>
    <n v="1598"/>
    <x v="2"/>
    <x v="1"/>
    <x v="0"/>
    <n v="295630"/>
  </r>
  <r>
    <d v="2025-01-09T18:05:03"/>
    <x v="3"/>
    <x v="0"/>
    <n v="114"/>
    <n v="1670"/>
    <x v="2"/>
    <x v="1"/>
    <x v="0"/>
    <n v="190380"/>
  </r>
  <r>
    <d v="2025-01-10T11:35:28"/>
    <x v="3"/>
    <x v="1"/>
    <n v="129"/>
    <n v="1304"/>
    <x v="2"/>
    <x v="2"/>
    <x v="1"/>
    <n v="168216"/>
  </r>
  <r>
    <d v="2025-01-11T05:05:54"/>
    <x v="4"/>
    <x v="1"/>
    <n v="152"/>
    <n v="1755"/>
    <x v="1"/>
    <x v="2"/>
    <x v="1"/>
    <n v="266760"/>
  </r>
  <r>
    <d v="2025-01-11T22:36:19"/>
    <x v="2"/>
    <x v="0"/>
    <n v="178"/>
    <n v="1534"/>
    <x v="3"/>
    <x v="2"/>
    <x v="1"/>
    <n v="273052"/>
  </r>
  <r>
    <d v="2025-01-12T16:06:44"/>
    <x v="1"/>
    <x v="1"/>
    <n v="42"/>
    <n v="1250"/>
    <x v="1"/>
    <x v="2"/>
    <x v="0"/>
    <n v="52500"/>
  </r>
  <r>
    <d v="2025-01-13T09:37:09"/>
    <x v="4"/>
    <x v="0"/>
    <n v="166"/>
    <n v="1771"/>
    <x v="0"/>
    <x v="2"/>
    <x v="1"/>
    <n v="293986"/>
  </r>
  <r>
    <d v="2025-01-14T03:07:35"/>
    <x v="4"/>
    <x v="1"/>
    <n v="138"/>
    <n v="1830"/>
    <x v="1"/>
    <x v="0"/>
    <x v="0"/>
    <n v="252540"/>
  </r>
  <r>
    <d v="2025-01-14T20:38:00"/>
    <x v="3"/>
    <x v="0"/>
    <n v="166"/>
    <n v="1325"/>
    <x v="1"/>
    <x v="1"/>
    <x v="1"/>
    <n v="219950"/>
  </r>
  <r>
    <d v="2025-01-15T14:08:25"/>
    <x v="6"/>
    <x v="0"/>
    <n v="59"/>
    <n v="1551"/>
    <x v="0"/>
    <x v="1"/>
    <x v="1"/>
    <n v="91509"/>
  </r>
  <r>
    <d v="2025-01-16T07:38:50"/>
    <x v="2"/>
    <x v="1"/>
    <n v="130"/>
    <n v="1483"/>
    <x v="0"/>
    <x v="1"/>
    <x v="1"/>
    <n v="192790"/>
  </r>
  <r>
    <d v="2025-01-17T01:09:16"/>
    <x v="5"/>
    <x v="1"/>
    <n v="189"/>
    <n v="1407"/>
    <x v="0"/>
    <x v="1"/>
    <x v="1"/>
    <n v="265923"/>
  </r>
  <r>
    <d v="2025-01-17T18:39:41"/>
    <x v="4"/>
    <x v="1"/>
    <n v="127"/>
    <n v="1425"/>
    <x v="1"/>
    <x v="1"/>
    <x v="1"/>
    <n v="180975"/>
  </r>
  <r>
    <d v="2025-01-18T12:10:06"/>
    <x v="1"/>
    <x v="0"/>
    <n v="194"/>
    <n v="979"/>
    <x v="1"/>
    <x v="1"/>
    <x v="1"/>
    <n v="189926"/>
  </r>
  <r>
    <d v="2025-01-19T05:40:31"/>
    <x v="6"/>
    <x v="0"/>
    <n v="95"/>
    <n v="1671"/>
    <x v="0"/>
    <x v="1"/>
    <x v="0"/>
    <n v="158745"/>
  </r>
  <r>
    <d v="2025-01-19T23:10:57"/>
    <x v="6"/>
    <x v="0"/>
    <n v="156"/>
    <n v="1212"/>
    <x v="3"/>
    <x v="1"/>
    <x v="1"/>
    <n v="189072"/>
  </r>
  <r>
    <d v="2025-01-20T16:41:22"/>
    <x v="5"/>
    <x v="0"/>
    <n v="85"/>
    <n v="1554"/>
    <x v="3"/>
    <x v="0"/>
    <x v="0"/>
    <n v="132090"/>
  </r>
  <r>
    <d v="2025-01-21T10:11:47"/>
    <x v="4"/>
    <x v="1"/>
    <n v="181"/>
    <n v="1668"/>
    <x v="2"/>
    <x v="1"/>
    <x v="1"/>
    <n v="301908"/>
  </r>
  <r>
    <d v="2025-01-22T03:42:12"/>
    <x v="1"/>
    <x v="0"/>
    <n v="55"/>
    <n v="1542"/>
    <x v="0"/>
    <x v="0"/>
    <x v="1"/>
    <n v="84810"/>
  </r>
  <r>
    <d v="2025-01-22T21:12:38"/>
    <x v="2"/>
    <x v="0"/>
    <n v="39"/>
    <n v="1141"/>
    <x v="2"/>
    <x v="2"/>
    <x v="0"/>
    <n v="44499"/>
  </r>
  <r>
    <d v="2025-01-23T14:43:03"/>
    <x v="7"/>
    <x v="1"/>
    <n v="126"/>
    <n v="1220"/>
    <x v="3"/>
    <x v="1"/>
    <x v="1"/>
    <n v="153720"/>
  </r>
  <r>
    <d v="2025-01-24T08:13:28"/>
    <x v="1"/>
    <x v="0"/>
    <n v="95"/>
    <n v="1643"/>
    <x v="2"/>
    <x v="2"/>
    <x v="0"/>
    <n v="156085"/>
  </r>
  <r>
    <d v="2025-01-25T01:43:53"/>
    <x v="5"/>
    <x v="1"/>
    <n v="56"/>
    <n v="878"/>
    <x v="0"/>
    <x v="2"/>
    <x v="0"/>
    <n v="49168"/>
  </r>
  <r>
    <d v="2025-01-25T19:14:19"/>
    <x v="6"/>
    <x v="0"/>
    <n v="183"/>
    <n v="998"/>
    <x v="0"/>
    <x v="2"/>
    <x v="1"/>
    <n v="182634"/>
  </r>
  <r>
    <d v="2025-01-26T12:44:44"/>
    <x v="2"/>
    <x v="1"/>
    <n v="104"/>
    <n v="1628"/>
    <x v="0"/>
    <x v="0"/>
    <x v="0"/>
    <n v="169312"/>
  </r>
  <r>
    <d v="2025-01-27T06:15:09"/>
    <x v="1"/>
    <x v="0"/>
    <n v="35"/>
    <n v="1145"/>
    <x v="1"/>
    <x v="2"/>
    <x v="0"/>
    <n v="40075"/>
  </r>
  <r>
    <d v="2025-01-27T23:45:34"/>
    <x v="7"/>
    <x v="0"/>
    <n v="167"/>
    <n v="860"/>
    <x v="2"/>
    <x v="2"/>
    <x v="1"/>
    <n v="143620"/>
  </r>
  <r>
    <d v="2025-01-28T17:16:00"/>
    <x v="7"/>
    <x v="1"/>
    <n v="46"/>
    <n v="1361"/>
    <x v="3"/>
    <x v="2"/>
    <x v="0"/>
    <n v="62606"/>
  </r>
  <r>
    <d v="2025-01-29T10:46:25"/>
    <x v="3"/>
    <x v="0"/>
    <n v="124"/>
    <n v="1525"/>
    <x v="3"/>
    <x v="1"/>
    <x v="1"/>
    <n v="189100"/>
  </r>
  <r>
    <d v="2025-01-30T04:16:50"/>
    <x v="3"/>
    <x v="0"/>
    <n v="80"/>
    <n v="962"/>
    <x v="3"/>
    <x v="1"/>
    <x v="1"/>
    <n v="76960"/>
  </r>
  <r>
    <d v="2025-01-30T21:47:15"/>
    <x v="0"/>
    <x v="0"/>
    <n v="68"/>
    <n v="1036"/>
    <x v="1"/>
    <x v="0"/>
    <x v="1"/>
    <n v="70448"/>
  </r>
  <r>
    <d v="2025-01-31T15:17:41"/>
    <x v="5"/>
    <x v="0"/>
    <n v="112"/>
    <n v="1656"/>
    <x v="1"/>
    <x v="0"/>
    <x v="1"/>
    <n v="185472"/>
  </r>
  <r>
    <d v="2025-02-01T08:48:06"/>
    <x v="4"/>
    <x v="1"/>
    <n v="79"/>
    <n v="1593"/>
    <x v="0"/>
    <x v="1"/>
    <x v="0"/>
    <n v="125847"/>
  </r>
  <r>
    <d v="2025-02-02T02:18:31"/>
    <x v="1"/>
    <x v="1"/>
    <n v="189"/>
    <n v="1076"/>
    <x v="3"/>
    <x v="0"/>
    <x v="1"/>
    <n v="203364"/>
  </r>
  <r>
    <d v="2025-02-02T19:48:56"/>
    <x v="1"/>
    <x v="0"/>
    <n v="107"/>
    <n v="1159"/>
    <x v="1"/>
    <x v="1"/>
    <x v="1"/>
    <n v="124013"/>
  </r>
  <r>
    <d v="2025-02-03T13:19:22"/>
    <x v="4"/>
    <x v="0"/>
    <n v="60"/>
    <n v="947"/>
    <x v="0"/>
    <x v="2"/>
    <x v="0"/>
    <n v="56820"/>
  </r>
  <r>
    <d v="2025-02-04T06:49:47"/>
    <x v="0"/>
    <x v="0"/>
    <n v="81"/>
    <n v="904"/>
    <x v="3"/>
    <x v="2"/>
    <x v="1"/>
    <n v="73224"/>
  </r>
  <r>
    <d v="2025-02-05T00:20:12"/>
    <x v="6"/>
    <x v="1"/>
    <n v="155"/>
    <n v="1472"/>
    <x v="2"/>
    <x v="0"/>
    <x v="1"/>
    <n v="228160"/>
  </r>
  <r>
    <d v="2025-02-05T17:50:37"/>
    <x v="6"/>
    <x v="1"/>
    <n v="90"/>
    <n v="1513"/>
    <x v="0"/>
    <x v="1"/>
    <x v="0"/>
    <n v="136170"/>
  </r>
  <r>
    <d v="2025-02-06T11:21:03"/>
    <x v="0"/>
    <x v="0"/>
    <n v="128"/>
    <n v="1607"/>
    <x v="1"/>
    <x v="1"/>
    <x v="0"/>
    <n v="205696"/>
  </r>
  <r>
    <d v="2025-02-07T04:51:28"/>
    <x v="6"/>
    <x v="0"/>
    <n v="141"/>
    <n v="1255"/>
    <x v="1"/>
    <x v="0"/>
    <x v="0"/>
    <n v="176955"/>
  </r>
  <r>
    <d v="2025-02-07T22:21:53"/>
    <x v="3"/>
    <x v="1"/>
    <n v="97"/>
    <n v="918"/>
    <x v="0"/>
    <x v="1"/>
    <x v="0"/>
    <n v="89046"/>
  </r>
  <r>
    <d v="2025-02-08T15:52:18"/>
    <x v="1"/>
    <x v="0"/>
    <n v="82"/>
    <n v="1161"/>
    <x v="0"/>
    <x v="2"/>
    <x v="0"/>
    <n v="95202"/>
  </r>
  <r>
    <d v="2025-02-09T09:22:44"/>
    <x v="0"/>
    <x v="0"/>
    <n v="95"/>
    <n v="1138"/>
    <x v="1"/>
    <x v="0"/>
    <x v="0"/>
    <n v="108110"/>
  </r>
  <r>
    <d v="2025-02-10T02:53:09"/>
    <x v="1"/>
    <x v="1"/>
    <n v="115"/>
    <n v="1611"/>
    <x v="2"/>
    <x v="0"/>
    <x v="0"/>
    <n v="185265"/>
  </r>
  <r>
    <d v="2025-02-10T20:23:34"/>
    <x v="4"/>
    <x v="0"/>
    <n v="60"/>
    <n v="1397"/>
    <x v="3"/>
    <x v="1"/>
    <x v="1"/>
    <n v="83820"/>
  </r>
  <r>
    <d v="2025-02-11T13:53:59"/>
    <x v="7"/>
    <x v="1"/>
    <n v="70"/>
    <n v="1600"/>
    <x v="2"/>
    <x v="0"/>
    <x v="0"/>
    <n v="112000"/>
  </r>
  <r>
    <d v="2025-02-12T07:24:25"/>
    <x v="3"/>
    <x v="0"/>
    <n v="35"/>
    <n v="997"/>
    <x v="0"/>
    <x v="1"/>
    <x v="0"/>
    <n v="34895"/>
  </r>
  <r>
    <d v="2025-02-13T00:54:50"/>
    <x v="2"/>
    <x v="1"/>
    <n v="42"/>
    <n v="1316"/>
    <x v="2"/>
    <x v="1"/>
    <x v="0"/>
    <n v="55272"/>
  </r>
  <r>
    <d v="2025-02-13T18:25:15"/>
    <x v="3"/>
    <x v="1"/>
    <n v="147"/>
    <n v="1588"/>
    <x v="1"/>
    <x v="1"/>
    <x v="1"/>
    <n v="233436"/>
  </r>
  <r>
    <d v="2025-02-14T11:55:40"/>
    <x v="0"/>
    <x v="1"/>
    <n v="133"/>
    <n v="1093"/>
    <x v="0"/>
    <x v="1"/>
    <x v="1"/>
    <n v="145369"/>
  </r>
  <r>
    <d v="2025-02-15T05:26:06"/>
    <x v="2"/>
    <x v="1"/>
    <n v="81"/>
    <n v="1340"/>
    <x v="3"/>
    <x v="1"/>
    <x v="0"/>
    <n v="108540"/>
  </r>
  <r>
    <d v="2025-02-15T22:56:31"/>
    <x v="7"/>
    <x v="0"/>
    <n v="161"/>
    <n v="1698"/>
    <x v="1"/>
    <x v="0"/>
    <x v="0"/>
    <n v="273378"/>
  </r>
  <r>
    <d v="2025-02-16T16:26:56"/>
    <x v="0"/>
    <x v="1"/>
    <n v="90"/>
    <n v="1807"/>
    <x v="1"/>
    <x v="2"/>
    <x v="0"/>
    <n v="162630"/>
  </r>
  <r>
    <d v="2025-02-17T09:57:21"/>
    <x v="5"/>
    <x v="1"/>
    <n v="48"/>
    <n v="1356"/>
    <x v="3"/>
    <x v="2"/>
    <x v="1"/>
    <n v="65088"/>
  </r>
  <r>
    <d v="2025-02-18T03:27:47"/>
    <x v="1"/>
    <x v="0"/>
    <n v="62"/>
    <n v="1214"/>
    <x v="3"/>
    <x v="0"/>
    <x v="1"/>
    <n v="75268"/>
  </r>
  <r>
    <d v="2025-02-18T20:58:12"/>
    <x v="7"/>
    <x v="1"/>
    <n v="112"/>
    <n v="1331"/>
    <x v="2"/>
    <x v="0"/>
    <x v="0"/>
    <n v="149072"/>
  </r>
  <r>
    <d v="2025-02-19T14:28:37"/>
    <x v="1"/>
    <x v="0"/>
    <n v="164"/>
    <n v="1050"/>
    <x v="0"/>
    <x v="2"/>
    <x v="1"/>
    <n v="172200"/>
  </r>
  <r>
    <d v="2025-02-20T07:59:02"/>
    <x v="6"/>
    <x v="0"/>
    <n v="143"/>
    <n v="1003"/>
    <x v="3"/>
    <x v="2"/>
    <x v="0"/>
    <n v="143429"/>
  </r>
  <r>
    <d v="2025-02-21T01:29:28"/>
    <x v="5"/>
    <x v="0"/>
    <n v="188"/>
    <n v="1299"/>
    <x v="3"/>
    <x v="2"/>
    <x v="1"/>
    <n v="244212"/>
  </r>
  <r>
    <d v="2025-02-21T18:59:53"/>
    <x v="5"/>
    <x v="0"/>
    <n v="48"/>
    <n v="1350"/>
    <x v="0"/>
    <x v="2"/>
    <x v="1"/>
    <n v="64800"/>
  </r>
  <r>
    <d v="2025-02-22T12:30:18"/>
    <x v="7"/>
    <x v="0"/>
    <n v="90"/>
    <n v="922"/>
    <x v="3"/>
    <x v="2"/>
    <x v="0"/>
    <n v="82980"/>
  </r>
  <r>
    <d v="2025-02-23T06:00:43"/>
    <x v="5"/>
    <x v="0"/>
    <n v="149"/>
    <n v="1562"/>
    <x v="3"/>
    <x v="1"/>
    <x v="0"/>
    <n v="232738"/>
  </r>
  <r>
    <d v="2025-02-23T23:31:09"/>
    <x v="2"/>
    <x v="1"/>
    <n v="41"/>
    <n v="1145"/>
    <x v="2"/>
    <x v="0"/>
    <x v="0"/>
    <n v="46945"/>
  </r>
  <r>
    <d v="2025-02-24T17:01:34"/>
    <x v="5"/>
    <x v="0"/>
    <n v="37"/>
    <n v="866"/>
    <x v="1"/>
    <x v="1"/>
    <x v="0"/>
    <n v="32042"/>
  </r>
  <r>
    <d v="2025-02-25T10:31:59"/>
    <x v="1"/>
    <x v="1"/>
    <n v="145"/>
    <n v="1490"/>
    <x v="1"/>
    <x v="2"/>
    <x v="1"/>
    <n v="216050"/>
  </r>
  <r>
    <d v="2025-02-26T04:02:24"/>
    <x v="1"/>
    <x v="0"/>
    <n v="185"/>
    <n v="1066"/>
    <x v="1"/>
    <x v="2"/>
    <x v="1"/>
    <n v="197210"/>
  </r>
  <r>
    <d v="2025-02-26T21:32:50"/>
    <x v="0"/>
    <x v="0"/>
    <n v="141"/>
    <n v="910"/>
    <x v="1"/>
    <x v="2"/>
    <x v="1"/>
    <n v="128310"/>
  </r>
  <r>
    <d v="2025-02-27T15:03:15"/>
    <x v="1"/>
    <x v="0"/>
    <n v="52"/>
    <n v="1788"/>
    <x v="3"/>
    <x v="1"/>
    <x v="0"/>
    <n v="92976"/>
  </r>
  <r>
    <d v="2025-02-28T08:33:40"/>
    <x v="0"/>
    <x v="0"/>
    <n v="72"/>
    <n v="1465"/>
    <x v="0"/>
    <x v="1"/>
    <x v="1"/>
    <n v="105480"/>
  </r>
  <r>
    <d v="2025-03-01T02:04:05"/>
    <x v="1"/>
    <x v="1"/>
    <n v="149"/>
    <n v="891"/>
    <x v="0"/>
    <x v="2"/>
    <x v="0"/>
    <n v="132759"/>
  </r>
  <r>
    <d v="2025-03-01T19:34:31"/>
    <x v="2"/>
    <x v="1"/>
    <n v="49"/>
    <n v="874"/>
    <x v="2"/>
    <x v="1"/>
    <x v="1"/>
    <n v="42826"/>
  </r>
  <r>
    <d v="2025-03-02T13:04:56"/>
    <x v="4"/>
    <x v="1"/>
    <n v="153"/>
    <n v="888"/>
    <x v="2"/>
    <x v="1"/>
    <x v="0"/>
    <n v="135864"/>
  </r>
  <r>
    <d v="2025-03-03T06:35:21"/>
    <x v="0"/>
    <x v="0"/>
    <n v="62"/>
    <n v="1652"/>
    <x v="3"/>
    <x v="2"/>
    <x v="0"/>
    <n v="102424"/>
  </r>
  <r>
    <d v="2025-03-04T00:05:46"/>
    <x v="3"/>
    <x v="0"/>
    <n v="73"/>
    <n v="980"/>
    <x v="0"/>
    <x v="1"/>
    <x v="1"/>
    <n v="71540"/>
  </r>
  <r>
    <d v="2025-03-04T17:36:12"/>
    <x v="6"/>
    <x v="0"/>
    <n v="51"/>
    <n v="1347"/>
    <x v="0"/>
    <x v="0"/>
    <x v="0"/>
    <n v="68697"/>
  </r>
  <r>
    <d v="2025-03-05T11:06:37"/>
    <x v="7"/>
    <x v="0"/>
    <n v="120"/>
    <n v="1078"/>
    <x v="1"/>
    <x v="0"/>
    <x v="0"/>
    <n v="129360"/>
  </r>
  <r>
    <d v="2025-03-06T04:37:02"/>
    <x v="1"/>
    <x v="1"/>
    <n v="160"/>
    <n v="957"/>
    <x v="3"/>
    <x v="0"/>
    <x v="1"/>
    <n v="153120"/>
  </r>
  <r>
    <d v="2025-03-06T22:07:27"/>
    <x v="5"/>
    <x v="0"/>
    <n v="78"/>
    <n v="1021"/>
    <x v="3"/>
    <x v="0"/>
    <x v="0"/>
    <n v="79638"/>
  </r>
  <r>
    <d v="2025-03-07T15:37:53"/>
    <x v="4"/>
    <x v="1"/>
    <n v="59"/>
    <n v="1284"/>
    <x v="1"/>
    <x v="2"/>
    <x v="0"/>
    <n v="75756"/>
  </r>
  <r>
    <d v="2025-03-08T09:08:18"/>
    <x v="1"/>
    <x v="0"/>
    <n v="179"/>
    <n v="1327"/>
    <x v="3"/>
    <x v="2"/>
    <x v="0"/>
    <n v="237533"/>
  </r>
  <r>
    <d v="2025-03-09T02:38:43"/>
    <x v="5"/>
    <x v="1"/>
    <n v="47"/>
    <n v="951"/>
    <x v="3"/>
    <x v="2"/>
    <x v="1"/>
    <n v="44697"/>
  </r>
  <r>
    <d v="2025-03-09T20:09:08"/>
    <x v="6"/>
    <x v="0"/>
    <n v="59"/>
    <n v="1715"/>
    <x v="2"/>
    <x v="0"/>
    <x v="1"/>
    <n v="101185"/>
  </r>
  <r>
    <d v="2025-03-10T13:39:34"/>
    <x v="6"/>
    <x v="1"/>
    <n v="102"/>
    <n v="1373"/>
    <x v="0"/>
    <x v="0"/>
    <x v="0"/>
    <n v="140046"/>
  </r>
  <r>
    <d v="2025-03-11T07:09:59"/>
    <x v="6"/>
    <x v="0"/>
    <n v="172"/>
    <n v="1124"/>
    <x v="3"/>
    <x v="1"/>
    <x v="1"/>
    <n v="193328"/>
  </r>
  <r>
    <d v="2025-03-12T00:40:24"/>
    <x v="5"/>
    <x v="0"/>
    <n v="101"/>
    <n v="1462"/>
    <x v="2"/>
    <x v="1"/>
    <x v="0"/>
    <n v="147662"/>
  </r>
  <r>
    <d v="2025-03-12T18:10:49"/>
    <x v="1"/>
    <x v="0"/>
    <n v="143"/>
    <n v="893"/>
    <x v="0"/>
    <x v="0"/>
    <x v="0"/>
    <n v="127699"/>
  </r>
  <r>
    <d v="2025-03-13T11:41:15"/>
    <x v="6"/>
    <x v="0"/>
    <n v="180"/>
    <n v="1804"/>
    <x v="1"/>
    <x v="0"/>
    <x v="0"/>
    <n v="324720"/>
  </r>
  <r>
    <d v="2025-03-14T05:11:40"/>
    <x v="2"/>
    <x v="0"/>
    <n v="145"/>
    <n v="1666"/>
    <x v="2"/>
    <x v="0"/>
    <x v="0"/>
    <n v="241570"/>
  </r>
  <r>
    <d v="2025-03-14T22:42:05"/>
    <x v="0"/>
    <x v="1"/>
    <n v="145"/>
    <n v="1806"/>
    <x v="2"/>
    <x v="0"/>
    <x v="0"/>
    <n v="261870"/>
  </r>
  <r>
    <d v="2025-03-15T16:12:30"/>
    <x v="5"/>
    <x v="1"/>
    <n v="68"/>
    <n v="866"/>
    <x v="0"/>
    <x v="1"/>
    <x v="1"/>
    <n v="58888"/>
  </r>
  <r>
    <d v="2025-03-16T09:42:56"/>
    <x v="5"/>
    <x v="0"/>
    <n v="145"/>
    <n v="1179"/>
    <x v="1"/>
    <x v="0"/>
    <x v="0"/>
    <n v="170955"/>
  </r>
  <r>
    <d v="2025-03-17T03:13:21"/>
    <x v="1"/>
    <x v="0"/>
    <n v="42"/>
    <n v="1418"/>
    <x v="2"/>
    <x v="1"/>
    <x v="1"/>
    <n v="59556"/>
  </r>
  <r>
    <d v="2025-03-17T20:43:46"/>
    <x v="5"/>
    <x v="1"/>
    <n v="147"/>
    <n v="1672"/>
    <x v="3"/>
    <x v="0"/>
    <x v="1"/>
    <n v="245784"/>
  </r>
  <r>
    <d v="2025-03-18T14:14:11"/>
    <x v="5"/>
    <x v="1"/>
    <n v="117"/>
    <n v="1346"/>
    <x v="3"/>
    <x v="0"/>
    <x v="0"/>
    <n v="157482"/>
  </r>
  <r>
    <d v="2025-03-19T07:44:37"/>
    <x v="6"/>
    <x v="1"/>
    <n v="76"/>
    <n v="1664"/>
    <x v="3"/>
    <x v="0"/>
    <x v="0"/>
    <n v="126464"/>
  </r>
  <r>
    <d v="2025-03-20T01:15:02"/>
    <x v="1"/>
    <x v="0"/>
    <n v="135"/>
    <n v="861"/>
    <x v="1"/>
    <x v="1"/>
    <x v="1"/>
    <n v="116235"/>
  </r>
  <r>
    <d v="2025-03-20T18:45:27"/>
    <x v="6"/>
    <x v="0"/>
    <n v="40"/>
    <n v="1167"/>
    <x v="2"/>
    <x v="1"/>
    <x v="1"/>
    <n v="46680"/>
  </r>
  <r>
    <d v="2025-03-21T12:15:52"/>
    <x v="0"/>
    <x v="0"/>
    <n v="60"/>
    <n v="1441"/>
    <x v="3"/>
    <x v="2"/>
    <x v="1"/>
    <n v="86460"/>
  </r>
  <r>
    <d v="2025-03-22T05:46:18"/>
    <x v="4"/>
    <x v="0"/>
    <n v="98"/>
    <n v="1065"/>
    <x v="1"/>
    <x v="0"/>
    <x v="0"/>
    <n v="104370"/>
  </r>
  <r>
    <d v="2025-03-22T23:16:43"/>
    <x v="0"/>
    <x v="0"/>
    <n v="93"/>
    <n v="1188"/>
    <x v="3"/>
    <x v="2"/>
    <x v="1"/>
    <n v="110484"/>
  </r>
  <r>
    <d v="2025-03-23T16:47:08"/>
    <x v="4"/>
    <x v="0"/>
    <n v="143"/>
    <n v="1625"/>
    <x v="0"/>
    <x v="2"/>
    <x v="0"/>
    <n v="232375"/>
  </r>
  <r>
    <d v="2025-03-24T10:17:33"/>
    <x v="6"/>
    <x v="0"/>
    <n v="155"/>
    <n v="1840"/>
    <x v="2"/>
    <x v="1"/>
    <x v="0"/>
    <n v="285200"/>
  </r>
  <r>
    <d v="2025-03-25T03:47:59"/>
    <x v="0"/>
    <x v="0"/>
    <n v="67"/>
    <n v="1510"/>
    <x v="2"/>
    <x v="1"/>
    <x v="0"/>
    <n v="101170"/>
  </r>
  <r>
    <d v="2025-03-25T21:18:24"/>
    <x v="1"/>
    <x v="1"/>
    <n v="184"/>
    <n v="930"/>
    <x v="1"/>
    <x v="2"/>
    <x v="1"/>
    <n v="171120"/>
  </r>
  <r>
    <d v="2025-03-26T14:48:49"/>
    <x v="7"/>
    <x v="0"/>
    <n v="55"/>
    <n v="1576"/>
    <x v="1"/>
    <x v="0"/>
    <x v="0"/>
    <n v="86680"/>
  </r>
  <r>
    <d v="2025-03-27T08:19:14"/>
    <x v="6"/>
    <x v="0"/>
    <n v="104"/>
    <n v="1334"/>
    <x v="2"/>
    <x v="1"/>
    <x v="0"/>
    <n v="138736"/>
  </r>
  <r>
    <d v="2025-03-28T01:49:40"/>
    <x v="4"/>
    <x v="0"/>
    <n v="146"/>
    <n v="1223"/>
    <x v="3"/>
    <x v="0"/>
    <x v="0"/>
    <n v="178558"/>
  </r>
  <r>
    <d v="2025-03-28T19:20:05"/>
    <x v="2"/>
    <x v="1"/>
    <n v="38"/>
    <n v="1825"/>
    <x v="3"/>
    <x v="0"/>
    <x v="0"/>
    <n v="69350"/>
  </r>
  <r>
    <d v="2025-03-29T12:50:30"/>
    <x v="4"/>
    <x v="0"/>
    <n v="128"/>
    <n v="1559"/>
    <x v="0"/>
    <x v="2"/>
    <x v="0"/>
    <n v="199552"/>
  </r>
  <r>
    <d v="2025-03-30T06:20:55"/>
    <x v="2"/>
    <x v="0"/>
    <n v="109"/>
    <n v="1049"/>
    <x v="3"/>
    <x v="2"/>
    <x v="1"/>
    <n v="114341"/>
  </r>
  <r>
    <d v="2025-03-30T23:51:21"/>
    <x v="5"/>
    <x v="1"/>
    <n v="96"/>
    <n v="1386"/>
    <x v="1"/>
    <x v="2"/>
    <x v="0"/>
    <n v="133056"/>
  </r>
  <r>
    <d v="2025-03-31T17:21:46"/>
    <x v="0"/>
    <x v="0"/>
    <n v="128"/>
    <n v="1315"/>
    <x v="1"/>
    <x v="2"/>
    <x v="0"/>
    <n v="168320"/>
  </r>
  <r>
    <d v="2025-04-01T10:52:11"/>
    <x v="2"/>
    <x v="0"/>
    <n v="129"/>
    <n v="938"/>
    <x v="3"/>
    <x v="1"/>
    <x v="1"/>
    <n v="121002"/>
  </r>
  <r>
    <d v="2025-04-02T04:22:36"/>
    <x v="4"/>
    <x v="1"/>
    <n v="186"/>
    <n v="1117"/>
    <x v="1"/>
    <x v="1"/>
    <x v="0"/>
    <n v="207762"/>
  </r>
  <r>
    <d v="2025-04-02T21:53:02"/>
    <x v="5"/>
    <x v="0"/>
    <n v="89"/>
    <n v="1504"/>
    <x v="2"/>
    <x v="2"/>
    <x v="1"/>
    <n v="133856"/>
  </r>
  <r>
    <d v="2025-04-03T15:23:27"/>
    <x v="7"/>
    <x v="0"/>
    <n v="171"/>
    <n v="1420"/>
    <x v="2"/>
    <x v="1"/>
    <x v="0"/>
    <n v="242820"/>
  </r>
  <r>
    <d v="2025-04-04T08:53:52"/>
    <x v="1"/>
    <x v="0"/>
    <n v="165"/>
    <n v="1771"/>
    <x v="3"/>
    <x v="2"/>
    <x v="1"/>
    <n v="292215"/>
  </r>
  <r>
    <d v="2025-04-05T02:24:17"/>
    <x v="1"/>
    <x v="1"/>
    <n v="65"/>
    <n v="1338"/>
    <x v="2"/>
    <x v="0"/>
    <x v="1"/>
    <n v="86970"/>
  </r>
  <r>
    <d v="2025-04-05T19:54:43"/>
    <x v="1"/>
    <x v="1"/>
    <n v="74"/>
    <n v="1726"/>
    <x v="2"/>
    <x v="0"/>
    <x v="0"/>
    <n v="127724"/>
  </r>
  <r>
    <d v="2025-04-06T13:25:08"/>
    <x v="2"/>
    <x v="1"/>
    <n v="70"/>
    <n v="1387"/>
    <x v="0"/>
    <x v="0"/>
    <x v="0"/>
    <n v="97090"/>
  </r>
  <r>
    <d v="2025-04-07T06:55:33"/>
    <x v="7"/>
    <x v="0"/>
    <n v="186"/>
    <n v="896"/>
    <x v="0"/>
    <x v="2"/>
    <x v="0"/>
    <n v="166656"/>
  </r>
  <r>
    <d v="2025-04-08T00:25:58"/>
    <x v="2"/>
    <x v="1"/>
    <n v="40"/>
    <n v="1137"/>
    <x v="2"/>
    <x v="0"/>
    <x v="1"/>
    <n v="45480"/>
  </r>
  <r>
    <d v="2025-04-08T17:56:24"/>
    <x v="0"/>
    <x v="1"/>
    <n v="100"/>
    <n v="1627"/>
    <x v="3"/>
    <x v="1"/>
    <x v="1"/>
    <n v="162700"/>
  </r>
  <r>
    <d v="2025-04-09T11:26:49"/>
    <x v="2"/>
    <x v="0"/>
    <n v="109"/>
    <n v="865"/>
    <x v="0"/>
    <x v="0"/>
    <x v="1"/>
    <n v="94285"/>
  </r>
  <r>
    <d v="2025-04-10T04:57:14"/>
    <x v="7"/>
    <x v="0"/>
    <n v="38"/>
    <n v="1560"/>
    <x v="1"/>
    <x v="0"/>
    <x v="0"/>
    <n v="59280"/>
  </r>
  <r>
    <d v="2025-04-10T22:27:39"/>
    <x v="7"/>
    <x v="0"/>
    <n v="113"/>
    <n v="1250"/>
    <x v="1"/>
    <x v="0"/>
    <x v="1"/>
    <n v="141250"/>
  </r>
  <r>
    <d v="2025-04-11T15:58:05"/>
    <x v="0"/>
    <x v="1"/>
    <n v="168"/>
    <n v="1768"/>
    <x v="1"/>
    <x v="1"/>
    <x v="1"/>
    <n v="297024"/>
  </r>
  <r>
    <d v="2025-04-12T09:28:30"/>
    <x v="7"/>
    <x v="1"/>
    <n v="152"/>
    <n v="1643"/>
    <x v="3"/>
    <x v="2"/>
    <x v="0"/>
    <n v="249736"/>
  </r>
  <r>
    <d v="2025-04-13T02:58:55"/>
    <x v="4"/>
    <x v="0"/>
    <n v="147"/>
    <n v="1830"/>
    <x v="2"/>
    <x v="1"/>
    <x v="1"/>
    <n v="269010"/>
  </r>
  <r>
    <d v="2025-04-13T20:29:20"/>
    <x v="7"/>
    <x v="0"/>
    <n v="128"/>
    <n v="935"/>
    <x v="1"/>
    <x v="2"/>
    <x v="1"/>
    <n v="119680"/>
  </r>
  <r>
    <d v="2025-04-14T13:59:46"/>
    <x v="1"/>
    <x v="1"/>
    <n v="96"/>
    <n v="1099"/>
    <x v="3"/>
    <x v="2"/>
    <x v="0"/>
    <n v="105504"/>
  </r>
  <r>
    <d v="2025-04-15T07:30:11"/>
    <x v="4"/>
    <x v="1"/>
    <n v="113"/>
    <n v="1240"/>
    <x v="0"/>
    <x v="0"/>
    <x v="1"/>
    <n v="140120"/>
  </r>
  <r>
    <d v="2025-04-16T01:00:36"/>
    <x v="4"/>
    <x v="1"/>
    <n v="170"/>
    <n v="1631"/>
    <x v="2"/>
    <x v="2"/>
    <x v="0"/>
    <n v="277270"/>
  </r>
  <r>
    <d v="2025-04-16T18:31:01"/>
    <x v="0"/>
    <x v="0"/>
    <n v="60"/>
    <n v="1184"/>
    <x v="0"/>
    <x v="1"/>
    <x v="0"/>
    <n v="71040"/>
  </r>
  <r>
    <d v="2025-04-17T12:01:27"/>
    <x v="3"/>
    <x v="1"/>
    <n v="78"/>
    <n v="1478"/>
    <x v="3"/>
    <x v="1"/>
    <x v="0"/>
    <n v="115284"/>
  </r>
  <r>
    <d v="2025-04-18T05:31:52"/>
    <x v="3"/>
    <x v="0"/>
    <n v="167"/>
    <n v="1368"/>
    <x v="1"/>
    <x v="2"/>
    <x v="0"/>
    <n v="228456"/>
  </r>
  <r>
    <d v="2025-04-18T23:02:17"/>
    <x v="7"/>
    <x v="1"/>
    <n v="104"/>
    <n v="986"/>
    <x v="1"/>
    <x v="0"/>
    <x v="0"/>
    <n v="102544"/>
  </r>
  <r>
    <d v="2025-04-19T16:32:42"/>
    <x v="4"/>
    <x v="1"/>
    <n v="188"/>
    <n v="1732"/>
    <x v="3"/>
    <x v="0"/>
    <x v="1"/>
    <n v="325616"/>
  </r>
  <r>
    <d v="2025-04-20T10:03:08"/>
    <x v="3"/>
    <x v="0"/>
    <n v="152"/>
    <n v="1537"/>
    <x v="1"/>
    <x v="1"/>
    <x v="1"/>
    <n v="233624"/>
  </r>
  <r>
    <d v="2025-04-21T03:33:33"/>
    <x v="3"/>
    <x v="1"/>
    <n v="102"/>
    <n v="1689"/>
    <x v="2"/>
    <x v="0"/>
    <x v="0"/>
    <n v="172278"/>
  </r>
  <r>
    <d v="2025-04-21T21:03:58"/>
    <x v="7"/>
    <x v="0"/>
    <n v="53"/>
    <n v="1347"/>
    <x v="3"/>
    <x v="2"/>
    <x v="0"/>
    <n v="71391"/>
  </r>
  <r>
    <d v="2025-04-22T14:34:23"/>
    <x v="3"/>
    <x v="0"/>
    <n v="54"/>
    <n v="1676"/>
    <x v="0"/>
    <x v="2"/>
    <x v="1"/>
    <n v="90504"/>
  </r>
  <r>
    <d v="2025-04-23T08:04:49"/>
    <x v="2"/>
    <x v="0"/>
    <n v="147"/>
    <n v="1576"/>
    <x v="3"/>
    <x v="1"/>
    <x v="0"/>
    <n v="231672"/>
  </r>
  <r>
    <d v="2025-04-24T01:35:14"/>
    <x v="5"/>
    <x v="0"/>
    <n v="174"/>
    <n v="1326"/>
    <x v="2"/>
    <x v="2"/>
    <x v="0"/>
    <n v="230724"/>
  </r>
  <r>
    <d v="2025-04-24T19:05:39"/>
    <x v="0"/>
    <x v="1"/>
    <n v="81"/>
    <n v="1443"/>
    <x v="2"/>
    <x v="1"/>
    <x v="0"/>
    <n v="116883"/>
  </r>
  <r>
    <d v="2025-04-25T12:36:04"/>
    <x v="5"/>
    <x v="0"/>
    <n v="35"/>
    <n v="1072"/>
    <x v="3"/>
    <x v="2"/>
    <x v="1"/>
    <n v="37520"/>
  </r>
  <r>
    <d v="2025-04-26T06:06:30"/>
    <x v="7"/>
    <x v="0"/>
    <n v="124"/>
    <n v="1839"/>
    <x v="3"/>
    <x v="1"/>
    <x v="1"/>
    <n v="228036"/>
  </r>
  <r>
    <d v="2025-04-26T23:36:55"/>
    <x v="1"/>
    <x v="1"/>
    <n v="176"/>
    <n v="1221"/>
    <x v="1"/>
    <x v="0"/>
    <x v="0"/>
    <n v="214896"/>
  </r>
  <r>
    <d v="2025-04-27T17:07:20"/>
    <x v="0"/>
    <x v="0"/>
    <n v="98"/>
    <n v="1784"/>
    <x v="2"/>
    <x v="2"/>
    <x v="0"/>
    <n v="174832"/>
  </r>
  <r>
    <d v="2025-04-28T10:37:45"/>
    <x v="7"/>
    <x v="0"/>
    <n v="72"/>
    <n v="1844"/>
    <x v="3"/>
    <x v="2"/>
    <x v="1"/>
    <n v="132768"/>
  </r>
  <r>
    <d v="2025-04-29T04:08:11"/>
    <x v="4"/>
    <x v="0"/>
    <n v="71"/>
    <n v="1251"/>
    <x v="3"/>
    <x v="1"/>
    <x v="1"/>
    <n v="88821"/>
  </r>
  <r>
    <d v="2025-04-29T21:38:36"/>
    <x v="1"/>
    <x v="0"/>
    <n v="160"/>
    <n v="1292"/>
    <x v="2"/>
    <x v="1"/>
    <x v="0"/>
    <n v="206720"/>
  </r>
  <r>
    <d v="2025-04-30T15:09:01"/>
    <x v="5"/>
    <x v="0"/>
    <n v="173"/>
    <n v="1339"/>
    <x v="3"/>
    <x v="2"/>
    <x v="0"/>
    <n v="231647"/>
  </r>
  <r>
    <d v="2025-05-01T08:39:26"/>
    <x v="7"/>
    <x v="0"/>
    <n v="134"/>
    <n v="1464"/>
    <x v="1"/>
    <x v="1"/>
    <x v="1"/>
    <n v="196176"/>
  </r>
  <r>
    <d v="2025-05-02T02:09:52"/>
    <x v="4"/>
    <x v="0"/>
    <n v="111"/>
    <n v="1122"/>
    <x v="2"/>
    <x v="2"/>
    <x v="1"/>
    <n v="124542"/>
  </r>
  <r>
    <d v="2025-05-02T19:40:17"/>
    <x v="0"/>
    <x v="0"/>
    <n v="37"/>
    <n v="1375"/>
    <x v="1"/>
    <x v="0"/>
    <x v="1"/>
    <n v="50875"/>
  </r>
  <r>
    <d v="2025-05-03T13:10:42"/>
    <x v="0"/>
    <x v="0"/>
    <n v="195"/>
    <n v="1008"/>
    <x v="1"/>
    <x v="1"/>
    <x v="0"/>
    <n v="196560"/>
  </r>
  <r>
    <d v="2025-05-04T06:41:07"/>
    <x v="6"/>
    <x v="0"/>
    <n v="168"/>
    <n v="1001"/>
    <x v="1"/>
    <x v="2"/>
    <x v="1"/>
    <n v="168168"/>
  </r>
  <r>
    <d v="2025-05-05T00:11:33"/>
    <x v="4"/>
    <x v="1"/>
    <n v="44"/>
    <n v="1844"/>
    <x v="1"/>
    <x v="0"/>
    <x v="0"/>
    <n v="81136"/>
  </r>
  <r>
    <d v="2025-05-05T17:41:58"/>
    <x v="2"/>
    <x v="0"/>
    <n v="39"/>
    <n v="1469"/>
    <x v="2"/>
    <x v="0"/>
    <x v="1"/>
    <n v="57291"/>
  </r>
  <r>
    <d v="2025-05-06T11:12:23"/>
    <x v="3"/>
    <x v="0"/>
    <n v="185"/>
    <n v="1037"/>
    <x v="1"/>
    <x v="2"/>
    <x v="1"/>
    <n v="191845"/>
  </r>
  <r>
    <d v="2025-05-07T04:42:48"/>
    <x v="1"/>
    <x v="0"/>
    <n v="172"/>
    <n v="1662"/>
    <x v="1"/>
    <x v="1"/>
    <x v="1"/>
    <n v="285864"/>
  </r>
  <r>
    <d v="2025-05-07T22:13:14"/>
    <x v="4"/>
    <x v="0"/>
    <n v="164"/>
    <n v="947"/>
    <x v="3"/>
    <x v="2"/>
    <x v="1"/>
    <n v="155308"/>
  </r>
  <r>
    <d v="2025-05-08T15:43:39"/>
    <x v="6"/>
    <x v="1"/>
    <n v="47"/>
    <n v="980"/>
    <x v="2"/>
    <x v="0"/>
    <x v="0"/>
    <n v="46060"/>
  </r>
  <r>
    <d v="2025-05-09T09:14:04"/>
    <x v="3"/>
    <x v="1"/>
    <n v="164"/>
    <n v="1654"/>
    <x v="2"/>
    <x v="2"/>
    <x v="0"/>
    <n v="271256"/>
  </r>
  <r>
    <d v="2025-05-10T02:44:29"/>
    <x v="3"/>
    <x v="0"/>
    <n v="118"/>
    <n v="1020"/>
    <x v="0"/>
    <x v="1"/>
    <x v="1"/>
    <n v="120360"/>
  </r>
  <r>
    <d v="2025-05-10T20:14:55"/>
    <x v="7"/>
    <x v="0"/>
    <n v="99"/>
    <n v="1785"/>
    <x v="2"/>
    <x v="0"/>
    <x v="0"/>
    <n v="176715"/>
  </r>
  <r>
    <d v="2025-05-11T13:45:20"/>
    <x v="3"/>
    <x v="1"/>
    <n v="97"/>
    <n v="1835"/>
    <x v="2"/>
    <x v="2"/>
    <x v="1"/>
    <n v="177995"/>
  </r>
  <r>
    <d v="2025-05-12T07:15:45"/>
    <x v="2"/>
    <x v="0"/>
    <n v="135"/>
    <n v="1032"/>
    <x v="0"/>
    <x v="1"/>
    <x v="1"/>
    <n v="139320"/>
  </r>
  <r>
    <d v="2025-05-13T00:46:10"/>
    <x v="0"/>
    <x v="0"/>
    <n v="107"/>
    <n v="1832"/>
    <x v="2"/>
    <x v="0"/>
    <x v="1"/>
    <n v="196024"/>
  </r>
  <r>
    <d v="2025-05-13T18:16:36"/>
    <x v="6"/>
    <x v="0"/>
    <n v="51"/>
    <n v="1213"/>
    <x v="2"/>
    <x v="1"/>
    <x v="1"/>
    <n v="61863"/>
  </r>
  <r>
    <d v="2025-05-14T11:47:01"/>
    <x v="3"/>
    <x v="1"/>
    <n v="43"/>
    <n v="888"/>
    <x v="2"/>
    <x v="0"/>
    <x v="0"/>
    <n v="38184"/>
  </r>
  <r>
    <d v="2025-05-15T05:17:26"/>
    <x v="7"/>
    <x v="0"/>
    <n v="177"/>
    <n v="1376"/>
    <x v="2"/>
    <x v="2"/>
    <x v="1"/>
    <n v="243552"/>
  </r>
  <r>
    <d v="2025-05-15T22:47:51"/>
    <x v="2"/>
    <x v="1"/>
    <n v="186"/>
    <n v="1737"/>
    <x v="0"/>
    <x v="1"/>
    <x v="1"/>
    <n v="323082"/>
  </r>
  <r>
    <d v="2025-05-16T16:18:17"/>
    <x v="5"/>
    <x v="1"/>
    <n v="72"/>
    <n v="1346"/>
    <x v="2"/>
    <x v="0"/>
    <x v="0"/>
    <n v="96912"/>
  </r>
  <r>
    <d v="2025-05-17T09:48:42"/>
    <x v="0"/>
    <x v="1"/>
    <n v="197"/>
    <n v="1365"/>
    <x v="2"/>
    <x v="1"/>
    <x v="1"/>
    <n v="268905"/>
  </r>
  <r>
    <d v="2025-05-18T03:19:07"/>
    <x v="0"/>
    <x v="1"/>
    <n v="128"/>
    <n v="1198"/>
    <x v="0"/>
    <x v="1"/>
    <x v="1"/>
    <n v="153344"/>
  </r>
  <r>
    <d v="2025-05-18T20:49:32"/>
    <x v="6"/>
    <x v="1"/>
    <n v="129"/>
    <n v="1831"/>
    <x v="3"/>
    <x v="2"/>
    <x v="1"/>
    <n v="236199"/>
  </r>
  <r>
    <d v="2025-05-19T14:19:58"/>
    <x v="0"/>
    <x v="0"/>
    <n v="83"/>
    <n v="1770"/>
    <x v="1"/>
    <x v="1"/>
    <x v="0"/>
    <n v="146910"/>
  </r>
  <r>
    <d v="2025-05-20T07:50:23"/>
    <x v="3"/>
    <x v="0"/>
    <n v="103"/>
    <n v="1246"/>
    <x v="3"/>
    <x v="0"/>
    <x v="1"/>
    <n v="128338"/>
  </r>
  <r>
    <d v="2025-05-21T01:20:48"/>
    <x v="7"/>
    <x v="0"/>
    <n v="96"/>
    <n v="1571"/>
    <x v="0"/>
    <x v="0"/>
    <x v="0"/>
    <n v="150816"/>
  </r>
  <r>
    <d v="2025-05-21T18:51:13"/>
    <x v="0"/>
    <x v="1"/>
    <n v="112"/>
    <n v="1010"/>
    <x v="1"/>
    <x v="0"/>
    <x v="1"/>
    <n v="113120"/>
  </r>
  <r>
    <d v="2025-05-22T12:21:39"/>
    <x v="0"/>
    <x v="0"/>
    <n v="151"/>
    <n v="865"/>
    <x v="0"/>
    <x v="0"/>
    <x v="1"/>
    <n v="130615"/>
  </r>
  <r>
    <d v="2025-05-23T05:52:04"/>
    <x v="5"/>
    <x v="1"/>
    <n v="154"/>
    <n v="1342"/>
    <x v="0"/>
    <x v="2"/>
    <x v="0"/>
    <n v="206668"/>
  </r>
  <r>
    <d v="2025-05-23T23:22:29"/>
    <x v="5"/>
    <x v="0"/>
    <n v="171"/>
    <n v="1275"/>
    <x v="2"/>
    <x v="1"/>
    <x v="1"/>
    <n v="218025"/>
  </r>
  <r>
    <d v="2025-05-24T16:52:54"/>
    <x v="1"/>
    <x v="0"/>
    <n v="196"/>
    <n v="957"/>
    <x v="1"/>
    <x v="2"/>
    <x v="1"/>
    <n v="187572"/>
  </r>
  <r>
    <d v="2025-05-25T10:23:20"/>
    <x v="2"/>
    <x v="0"/>
    <n v="110"/>
    <n v="1743"/>
    <x v="2"/>
    <x v="1"/>
    <x v="0"/>
    <n v="191730"/>
  </r>
  <r>
    <d v="2025-05-26T03:53:45"/>
    <x v="3"/>
    <x v="0"/>
    <n v="69"/>
    <n v="1299"/>
    <x v="1"/>
    <x v="1"/>
    <x v="0"/>
    <n v="89631"/>
  </r>
  <r>
    <d v="2025-05-26T21:24:10"/>
    <x v="0"/>
    <x v="0"/>
    <n v="35"/>
    <n v="1160"/>
    <x v="0"/>
    <x v="1"/>
    <x v="0"/>
    <n v="40600"/>
  </r>
  <r>
    <d v="2025-05-27T14:54:35"/>
    <x v="4"/>
    <x v="0"/>
    <n v="74"/>
    <n v="1588"/>
    <x v="0"/>
    <x v="2"/>
    <x v="0"/>
    <n v="117512"/>
  </r>
  <r>
    <d v="2025-05-28T08:25:01"/>
    <x v="0"/>
    <x v="0"/>
    <n v="98"/>
    <n v="1019"/>
    <x v="3"/>
    <x v="1"/>
    <x v="0"/>
    <n v="99862"/>
  </r>
  <r>
    <d v="2025-05-29T01:55:26"/>
    <x v="7"/>
    <x v="1"/>
    <n v="184"/>
    <n v="1395"/>
    <x v="1"/>
    <x v="2"/>
    <x v="1"/>
    <n v="256680"/>
  </r>
  <r>
    <d v="2025-05-29T19:25:51"/>
    <x v="1"/>
    <x v="0"/>
    <n v="94"/>
    <n v="1263"/>
    <x v="2"/>
    <x v="0"/>
    <x v="0"/>
    <n v="118722"/>
  </r>
  <r>
    <d v="2025-05-30T12:56:16"/>
    <x v="2"/>
    <x v="0"/>
    <n v="98"/>
    <n v="1100"/>
    <x v="3"/>
    <x v="0"/>
    <x v="1"/>
    <n v="107800"/>
  </r>
  <r>
    <d v="2025-05-31T06:26:42"/>
    <x v="4"/>
    <x v="0"/>
    <n v="127"/>
    <n v="1608"/>
    <x v="3"/>
    <x v="1"/>
    <x v="1"/>
    <n v="204216"/>
  </r>
  <r>
    <d v="2025-05-31T23:57:07"/>
    <x v="1"/>
    <x v="0"/>
    <n v="106"/>
    <n v="1630"/>
    <x v="3"/>
    <x v="2"/>
    <x v="1"/>
    <n v="172780"/>
  </r>
  <r>
    <d v="2025-06-01T17:27:32"/>
    <x v="6"/>
    <x v="0"/>
    <n v="45"/>
    <n v="990"/>
    <x v="2"/>
    <x v="0"/>
    <x v="0"/>
    <n v="44550"/>
  </r>
  <r>
    <d v="2025-06-02T10:57:57"/>
    <x v="2"/>
    <x v="1"/>
    <n v="139"/>
    <n v="1123"/>
    <x v="3"/>
    <x v="2"/>
    <x v="0"/>
    <n v="156097"/>
  </r>
  <r>
    <d v="2025-06-03T04:28:23"/>
    <x v="0"/>
    <x v="0"/>
    <n v="48"/>
    <n v="1265"/>
    <x v="2"/>
    <x v="2"/>
    <x v="1"/>
    <n v="60720"/>
  </r>
  <r>
    <d v="2025-06-03T21:58:48"/>
    <x v="0"/>
    <x v="0"/>
    <n v="94"/>
    <n v="1457"/>
    <x v="3"/>
    <x v="1"/>
    <x v="0"/>
    <n v="136958"/>
  </r>
  <r>
    <d v="2025-06-04T15:29:13"/>
    <x v="2"/>
    <x v="0"/>
    <n v="64"/>
    <n v="1588"/>
    <x v="2"/>
    <x v="0"/>
    <x v="0"/>
    <n v="101632"/>
  </r>
  <r>
    <d v="2025-06-05T08:59:38"/>
    <x v="0"/>
    <x v="1"/>
    <n v="69"/>
    <n v="1740"/>
    <x v="0"/>
    <x v="1"/>
    <x v="0"/>
    <n v="120060"/>
  </r>
  <r>
    <d v="2025-06-06T02:30:04"/>
    <x v="3"/>
    <x v="0"/>
    <n v="199"/>
    <n v="888"/>
    <x v="0"/>
    <x v="1"/>
    <x v="0"/>
    <n v="176712"/>
  </r>
  <r>
    <d v="2025-06-06T20:00:29"/>
    <x v="2"/>
    <x v="0"/>
    <n v="39"/>
    <n v="1663"/>
    <x v="0"/>
    <x v="0"/>
    <x v="1"/>
    <n v="64857"/>
  </r>
  <r>
    <d v="2025-06-07T13:30:54"/>
    <x v="1"/>
    <x v="0"/>
    <n v="117"/>
    <n v="878"/>
    <x v="0"/>
    <x v="0"/>
    <x v="1"/>
    <n v="102726"/>
  </r>
  <r>
    <d v="2025-06-08T07:01:19"/>
    <x v="2"/>
    <x v="0"/>
    <n v="157"/>
    <n v="1807"/>
    <x v="0"/>
    <x v="2"/>
    <x v="0"/>
    <n v="283699"/>
  </r>
  <r>
    <d v="2025-06-09T00:31:45"/>
    <x v="4"/>
    <x v="0"/>
    <n v="112"/>
    <n v="1326"/>
    <x v="3"/>
    <x v="0"/>
    <x v="1"/>
    <n v="148512"/>
  </r>
  <r>
    <d v="2025-06-09T18:02:10"/>
    <x v="0"/>
    <x v="0"/>
    <n v="188"/>
    <n v="1167"/>
    <x v="3"/>
    <x v="2"/>
    <x v="0"/>
    <n v="219396"/>
  </r>
  <r>
    <d v="2025-06-10T11:32:35"/>
    <x v="3"/>
    <x v="0"/>
    <n v="96"/>
    <n v="1094"/>
    <x v="3"/>
    <x v="2"/>
    <x v="0"/>
    <n v="105024"/>
  </r>
  <r>
    <d v="2025-06-11T05:03:00"/>
    <x v="3"/>
    <x v="0"/>
    <n v="166"/>
    <n v="1597"/>
    <x v="2"/>
    <x v="2"/>
    <x v="1"/>
    <n v="265102"/>
  </r>
  <r>
    <d v="2025-06-11T22:33:26"/>
    <x v="6"/>
    <x v="1"/>
    <n v="123"/>
    <n v="1546"/>
    <x v="2"/>
    <x v="0"/>
    <x v="1"/>
    <n v="190158"/>
  </r>
  <r>
    <d v="2025-06-12T16:03:51"/>
    <x v="1"/>
    <x v="0"/>
    <n v="76"/>
    <n v="1121"/>
    <x v="2"/>
    <x v="1"/>
    <x v="1"/>
    <n v="85196"/>
  </r>
  <r>
    <d v="2025-06-13T09:34:16"/>
    <x v="5"/>
    <x v="0"/>
    <n v="123"/>
    <n v="1289"/>
    <x v="2"/>
    <x v="2"/>
    <x v="0"/>
    <n v="158547"/>
  </r>
  <r>
    <d v="2025-06-14T03:04:41"/>
    <x v="5"/>
    <x v="1"/>
    <n v="180"/>
    <n v="1597"/>
    <x v="0"/>
    <x v="1"/>
    <x v="1"/>
    <n v="287460"/>
  </r>
  <r>
    <d v="2025-06-14T20:35:07"/>
    <x v="2"/>
    <x v="0"/>
    <n v="74"/>
    <n v="1088"/>
    <x v="0"/>
    <x v="1"/>
    <x v="0"/>
    <n v="80512"/>
  </r>
  <r>
    <d v="2025-06-15T14:05:32"/>
    <x v="6"/>
    <x v="1"/>
    <n v="106"/>
    <n v="1226"/>
    <x v="0"/>
    <x v="0"/>
    <x v="1"/>
    <n v="129956"/>
  </r>
  <r>
    <d v="2025-06-16T07:35:57"/>
    <x v="7"/>
    <x v="0"/>
    <n v="73"/>
    <n v="1115"/>
    <x v="1"/>
    <x v="1"/>
    <x v="1"/>
    <n v="81395"/>
  </r>
  <r>
    <d v="2025-06-17T01:06:22"/>
    <x v="2"/>
    <x v="0"/>
    <n v="138"/>
    <n v="1775"/>
    <x v="3"/>
    <x v="1"/>
    <x v="0"/>
    <n v="244950"/>
  </r>
  <r>
    <d v="2025-06-17T18:36:48"/>
    <x v="6"/>
    <x v="0"/>
    <n v="48"/>
    <n v="1770"/>
    <x v="2"/>
    <x v="0"/>
    <x v="0"/>
    <n v="84960"/>
  </r>
  <r>
    <d v="2025-06-18T12:07:13"/>
    <x v="1"/>
    <x v="0"/>
    <n v="66"/>
    <n v="1208"/>
    <x v="2"/>
    <x v="2"/>
    <x v="0"/>
    <n v="79728"/>
  </r>
  <r>
    <d v="2025-06-19T05:37:38"/>
    <x v="1"/>
    <x v="0"/>
    <n v="159"/>
    <n v="1189"/>
    <x v="0"/>
    <x v="1"/>
    <x v="0"/>
    <n v="189051"/>
  </r>
  <r>
    <d v="2025-06-19T23:08:03"/>
    <x v="1"/>
    <x v="0"/>
    <n v="131"/>
    <n v="1238"/>
    <x v="2"/>
    <x v="0"/>
    <x v="0"/>
    <n v="162178"/>
  </r>
  <r>
    <d v="2025-06-20T16:38:29"/>
    <x v="1"/>
    <x v="0"/>
    <n v="57"/>
    <n v="1426"/>
    <x v="2"/>
    <x v="1"/>
    <x v="0"/>
    <n v="81282"/>
  </r>
  <r>
    <d v="2025-06-21T10:08:54"/>
    <x v="1"/>
    <x v="0"/>
    <n v="97"/>
    <n v="1839"/>
    <x v="3"/>
    <x v="1"/>
    <x v="0"/>
    <n v="178383"/>
  </r>
  <r>
    <d v="2025-06-22T03:39:19"/>
    <x v="6"/>
    <x v="0"/>
    <n v="177"/>
    <n v="1538"/>
    <x v="0"/>
    <x v="2"/>
    <x v="0"/>
    <n v="272226"/>
  </r>
  <r>
    <d v="2025-06-22T21:09:44"/>
    <x v="6"/>
    <x v="1"/>
    <n v="187"/>
    <n v="852"/>
    <x v="3"/>
    <x v="1"/>
    <x v="1"/>
    <n v="159324"/>
  </r>
  <r>
    <d v="2025-06-23T14:40:10"/>
    <x v="3"/>
    <x v="0"/>
    <n v="179"/>
    <n v="1278"/>
    <x v="1"/>
    <x v="0"/>
    <x v="0"/>
    <n v="228762"/>
  </r>
  <r>
    <d v="2025-06-24T08:10:35"/>
    <x v="4"/>
    <x v="0"/>
    <n v="87"/>
    <n v="991"/>
    <x v="1"/>
    <x v="1"/>
    <x v="0"/>
    <n v="86217"/>
  </r>
  <r>
    <d v="2025-06-25T01:41:00"/>
    <x v="5"/>
    <x v="1"/>
    <n v="138"/>
    <n v="1225"/>
    <x v="1"/>
    <x v="2"/>
    <x v="1"/>
    <n v="169050"/>
  </r>
  <r>
    <d v="2025-06-25T19:11:25"/>
    <x v="0"/>
    <x v="0"/>
    <n v="138"/>
    <n v="1519"/>
    <x v="0"/>
    <x v="2"/>
    <x v="0"/>
    <n v="209622"/>
  </r>
  <r>
    <d v="2025-06-26T12:41:51"/>
    <x v="1"/>
    <x v="0"/>
    <n v="73"/>
    <n v="1173"/>
    <x v="2"/>
    <x v="0"/>
    <x v="1"/>
    <n v="85629"/>
  </r>
  <r>
    <d v="2025-06-27T06:12:16"/>
    <x v="7"/>
    <x v="0"/>
    <n v="168"/>
    <n v="995"/>
    <x v="0"/>
    <x v="2"/>
    <x v="1"/>
    <n v="167160"/>
  </r>
  <r>
    <d v="2025-06-27T23:42:41"/>
    <x v="0"/>
    <x v="0"/>
    <n v="101"/>
    <n v="1807"/>
    <x v="0"/>
    <x v="1"/>
    <x v="0"/>
    <n v="182507"/>
  </r>
  <r>
    <d v="2025-06-28T17:13:06"/>
    <x v="6"/>
    <x v="0"/>
    <n v="169"/>
    <n v="1142"/>
    <x v="2"/>
    <x v="2"/>
    <x v="1"/>
    <n v="192998"/>
  </r>
  <r>
    <d v="2025-06-29T10:43:32"/>
    <x v="7"/>
    <x v="0"/>
    <n v="76"/>
    <n v="1514"/>
    <x v="3"/>
    <x v="0"/>
    <x v="0"/>
    <n v="115064"/>
  </r>
  <r>
    <d v="2025-06-30T04:13:57"/>
    <x v="7"/>
    <x v="0"/>
    <n v="49"/>
    <n v="1281"/>
    <x v="1"/>
    <x v="2"/>
    <x v="1"/>
    <n v="62769"/>
  </r>
  <r>
    <d v="2025-06-30T21:44:22"/>
    <x v="7"/>
    <x v="0"/>
    <n v="145"/>
    <n v="1554"/>
    <x v="3"/>
    <x v="2"/>
    <x v="1"/>
    <n v="225330"/>
  </r>
  <r>
    <d v="2025-07-01T15:14:47"/>
    <x v="3"/>
    <x v="0"/>
    <n v="191"/>
    <n v="1798"/>
    <x v="1"/>
    <x v="2"/>
    <x v="1"/>
    <n v="343418"/>
  </r>
  <r>
    <d v="2025-07-02T08:45:13"/>
    <x v="6"/>
    <x v="0"/>
    <n v="67"/>
    <n v="1824"/>
    <x v="0"/>
    <x v="0"/>
    <x v="0"/>
    <n v="122208"/>
  </r>
  <r>
    <d v="2025-07-03T02:15:38"/>
    <x v="7"/>
    <x v="0"/>
    <n v="189"/>
    <n v="1434"/>
    <x v="1"/>
    <x v="2"/>
    <x v="0"/>
    <n v="271026"/>
  </r>
  <r>
    <d v="2025-07-03T19:46:03"/>
    <x v="1"/>
    <x v="0"/>
    <n v="198"/>
    <n v="1248"/>
    <x v="0"/>
    <x v="2"/>
    <x v="1"/>
    <n v="247104"/>
  </r>
  <r>
    <d v="2025-07-04T13:16:28"/>
    <x v="2"/>
    <x v="0"/>
    <n v="191"/>
    <n v="1666"/>
    <x v="3"/>
    <x v="1"/>
    <x v="1"/>
    <n v="318206"/>
  </r>
  <r>
    <d v="2025-07-05T06:46:54"/>
    <x v="7"/>
    <x v="1"/>
    <n v="72"/>
    <n v="1738"/>
    <x v="0"/>
    <x v="0"/>
    <x v="0"/>
    <n v="125136"/>
  </r>
  <r>
    <d v="2025-07-06T00:17:19"/>
    <x v="3"/>
    <x v="1"/>
    <n v="131"/>
    <n v="1193"/>
    <x v="3"/>
    <x v="2"/>
    <x v="0"/>
    <n v="156283"/>
  </r>
  <r>
    <d v="2025-07-06T17:47:44"/>
    <x v="0"/>
    <x v="0"/>
    <n v="189"/>
    <n v="1813"/>
    <x v="2"/>
    <x v="0"/>
    <x v="1"/>
    <n v="342657"/>
  </r>
  <r>
    <d v="2025-07-07T11:18:09"/>
    <x v="6"/>
    <x v="1"/>
    <n v="67"/>
    <n v="989"/>
    <x v="2"/>
    <x v="2"/>
    <x v="1"/>
    <n v="66263"/>
  </r>
  <r>
    <d v="2025-07-08T04:48:35"/>
    <x v="4"/>
    <x v="0"/>
    <n v="120"/>
    <n v="1036"/>
    <x v="2"/>
    <x v="2"/>
    <x v="0"/>
    <n v="124320"/>
  </r>
  <r>
    <d v="2025-07-08T22:19:00"/>
    <x v="3"/>
    <x v="1"/>
    <n v="100"/>
    <n v="1654"/>
    <x v="0"/>
    <x v="2"/>
    <x v="0"/>
    <n v="165400"/>
  </r>
  <r>
    <d v="2025-07-09T15:49:25"/>
    <x v="7"/>
    <x v="0"/>
    <n v="44"/>
    <n v="910"/>
    <x v="2"/>
    <x v="1"/>
    <x v="0"/>
    <n v="40040"/>
  </r>
  <r>
    <d v="2025-07-10T09:19:50"/>
    <x v="6"/>
    <x v="0"/>
    <n v="39"/>
    <n v="1846"/>
    <x v="1"/>
    <x v="1"/>
    <x v="0"/>
    <n v="71994"/>
  </r>
  <r>
    <d v="2025-07-11T02:50:16"/>
    <x v="2"/>
    <x v="0"/>
    <n v="157"/>
    <n v="1788"/>
    <x v="3"/>
    <x v="1"/>
    <x v="0"/>
    <n v="280716"/>
  </r>
  <r>
    <d v="2025-07-11T20:20:41"/>
    <x v="7"/>
    <x v="0"/>
    <n v="108"/>
    <n v="1229"/>
    <x v="3"/>
    <x v="0"/>
    <x v="1"/>
    <n v="132732"/>
  </r>
  <r>
    <d v="2025-07-12T13:51:06"/>
    <x v="3"/>
    <x v="0"/>
    <n v="131"/>
    <n v="1559"/>
    <x v="1"/>
    <x v="0"/>
    <x v="0"/>
    <n v="204229"/>
  </r>
  <r>
    <d v="2025-07-13T07:21:31"/>
    <x v="5"/>
    <x v="0"/>
    <n v="152"/>
    <n v="1656"/>
    <x v="0"/>
    <x v="1"/>
    <x v="1"/>
    <n v="251712"/>
  </r>
  <r>
    <d v="2025-07-14T00:51:57"/>
    <x v="1"/>
    <x v="1"/>
    <n v="72"/>
    <n v="1289"/>
    <x v="0"/>
    <x v="0"/>
    <x v="0"/>
    <n v="92808"/>
  </r>
  <r>
    <d v="2025-07-14T18:22:22"/>
    <x v="4"/>
    <x v="0"/>
    <n v="175"/>
    <n v="1168"/>
    <x v="3"/>
    <x v="2"/>
    <x v="1"/>
    <n v="204400"/>
  </r>
  <r>
    <d v="2025-07-15T11:52:47"/>
    <x v="0"/>
    <x v="0"/>
    <n v="193"/>
    <n v="1151"/>
    <x v="2"/>
    <x v="2"/>
    <x v="0"/>
    <n v="222143"/>
  </r>
  <r>
    <d v="2025-07-16T05:23:12"/>
    <x v="3"/>
    <x v="1"/>
    <n v="81"/>
    <n v="1193"/>
    <x v="0"/>
    <x v="2"/>
    <x v="0"/>
    <n v="96633"/>
  </r>
  <r>
    <d v="2025-07-16T22:53:38"/>
    <x v="6"/>
    <x v="1"/>
    <n v="143"/>
    <n v="860"/>
    <x v="0"/>
    <x v="1"/>
    <x v="1"/>
    <n v="122980"/>
  </r>
  <r>
    <d v="2025-07-17T16:24:03"/>
    <x v="4"/>
    <x v="0"/>
    <n v="49"/>
    <n v="911"/>
    <x v="1"/>
    <x v="0"/>
    <x v="1"/>
    <n v="44639"/>
  </r>
  <r>
    <d v="2025-07-18T09:54:28"/>
    <x v="4"/>
    <x v="0"/>
    <n v="191"/>
    <n v="1694"/>
    <x v="1"/>
    <x v="1"/>
    <x v="0"/>
    <n v="323554"/>
  </r>
  <r>
    <d v="2025-07-19T03:24:53"/>
    <x v="4"/>
    <x v="1"/>
    <n v="170"/>
    <n v="1075"/>
    <x v="2"/>
    <x v="0"/>
    <x v="0"/>
    <n v="182750"/>
  </r>
  <r>
    <d v="2025-07-19T20:55:19"/>
    <x v="7"/>
    <x v="0"/>
    <n v="39"/>
    <n v="1002"/>
    <x v="0"/>
    <x v="2"/>
    <x v="0"/>
    <n v="39078"/>
  </r>
  <r>
    <d v="2025-07-20T14:25:44"/>
    <x v="1"/>
    <x v="1"/>
    <n v="191"/>
    <n v="1560"/>
    <x v="0"/>
    <x v="1"/>
    <x v="0"/>
    <n v="297960"/>
  </r>
  <r>
    <d v="2025-07-21T07:56:09"/>
    <x v="7"/>
    <x v="0"/>
    <n v="81"/>
    <n v="1413"/>
    <x v="1"/>
    <x v="0"/>
    <x v="0"/>
    <n v="114453"/>
  </r>
  <r>
    <d v="2025-07-22T01:26:34"/>
    <x v="6"/>
    <x v="1"/>
    <n v="102"/>
    <n v="1621"/>
    <x v="0"/>
    <x v="0"/>
    <x v="1"/>
    <n v="165342"/>
  </r>
  <r>
    <d v="2025-07-22T18:57:00"/>
    <x v="7"/>
    <x v="0"/>
    <n v="110"/>
    <n v="1420"/>
    <x v="3"/>
    <x v="2"/>
    <x v="1"/>
    <n v="156200"/>
  </r>
  <r>
    <d v="2025-07-23T12:27:25"/>
    <x v="5"/>
    <x v="1"/>
    <n v="164"/>
    <n v="1433"/>
    <x v="1"/>
    <x v="1"/>
    <x v="0"/>
    <n v="235012"/>
  </r>
  <r>
    <d v="2025-07-24T05:57:50"/>
    <x v="1"/>
    <x v="0"/>
    <n v="189"/>
    <n v="1509"/>
    <x v="2"/>
    <x v="1"/>
    <x v="1"/>
    <n v="285201"/>
  </r>
  <r>
    <d v="2025-07-24T23:28:15"/>
    <x v="1"/>
    <x v="1"/>
    <n v="129"/>
    <n v="1710"/>
    <x v="1"/>
    <x v="1"/>
    <x v="1"/>
    <n v="220590"/>
  </r>
  <r>
    <d v="2025-07-25T16:58:41"/>
    <x v="6"/>
    <x v="1"/>
    <n v="149"/>
    <n v="1424"/>
    <x v="0"/>
    <x v="2"/>
    <x v="1"/>
    <n v="212176"/>
  </r>
  <r>
    <d v="2025-07-26T10:29:06"/>
    <x v="0"/>
    <x v="0"/>
    <n v="198"/>
    <n v="1159"/>
    <x v="2"/>
    <x v="1"/>
    <x v="0"/>
    <n v="229482"/>
  </r>
  <r>
    <d v="2025-07-27T03:59:31"/>
    <x v="5"/>
    <x v="0"/>
    <n v="70"/>
    <n v="1734"/>
    <x v="1"/>
    <x v="2"/>
    <x v="1"/>
    <n v="121380"/>
  </r>
  <r>
    <d v="2025-07-27T21:29:56"/>
    <x v="3"/>
    <x v="0"/>
    <n v="60"/>
    <n v="1092"/>
    <x v="3"/>
    <x v="2"/>
    <x v="0"/>
    <n v="65520"/>
  </r>
  <r>
    <d v="2025-07-28T15:00:22"/>
    <x v="7"/>
    <x v="1"/>
    <n v="77"/>
    <n v="1342"/>
    <x v="3"/>
    <x v="2"/>
    <x v="1"/>
    <n v="103334"/>
  </r>
  <r>
    <d v="2025-07-29T08:30:47"/>
    <x v="2"/>
    <x v="0"/>
    <n v="61"/>
    <n v="1215"/>
    <x v="1"/>
    <x v="0"/>
    <x v="0"/>
    <n v="74115"/>
  </r>
  <r>
    <d v="2025-07-30T02:01:12"/>
    <x v="7"/>
    <x v="0"/>
    <n v="103"/>
    <n v="1179"/>
    <x v="3"/>
    <x v="1"/>
    <x v="1"/>
    <n v="121437"/>
  </r>
  <r>
    <d v="2025-07-30T19:31:37"/>
    <x v="4"/>
    <x v="0"/>
    <n v="182"/>
    <n v="956"/>
    <x v="3"/>
    <x v="1"/>
    <x v="0"/>
    <n v="173992"/>
  </r>
  <r>
    <d v="2025-07-31T13:02:03"/>
    <x v="7"/>
    <x v="1"/>
    <n v="45"/>
    <n v="1075"/>
    <x v="3"/>
    <x v="2"/>
    <x v="0"/>
    <n v="48375"/>
  </r>
  <r>
    <d v="2025-08-01T06:32:28"/>
    <x v="3"/>
    <x v="0"/>
    <n v="108"/>
    <n v="1674"/>
    <x v="2"/>
    <x v="2"/>
    <x v="1"/>
    <n v="180792"/>
  </r>
  <r>
    <d v="2025-08-02T00:02:53"/>
    <x v="7"/>
    <x v="0"/>
    <n v="138"/>
    <n v="1067"/>
    <x v="3"/>
    <x v="1"/>
    <x v="0"/>
    <n v="147246"/>
  </r>
  <r>
    <d v="2025-08-02T17:33:18"/>
    <x v="5"/>
    <x v="0"/>
    <n v="72"/>
    <n v="1786"/>
    <x v="3"/>
    <x v="2"/>
    <x v="0"/>
    <n v="128592"/>
  </r>
  <r>
    <d v="2025-08-03T11:03:44"/>
    <x v="5"/>
    <x v="0"/>
    <n v="168"/>
    <n v="1602"/>
    <x v="3"/>
    <x v="1"/>
    <x v="0"/>
    <n v="269136"/>
  </r>
  <r>
    <d v="2025-08-04T04:34:09"/>
    <x v="1"/>
    <x v="0"/>
    <n v="57"/>
    <n v="1355"/>
    <x v="2"/>
    <x v="0"/>
    <x v="0"/>
    <n v="77235"/>
  </r>
  <r>
    <d v="2025-08-04T22:04:34"/>
    <x v="6"/>
    <x v="1"/>
    <n v="81"/>
    <n v="1108"/>
    <x v="1"/>
    <x v="2"/>
    <x v="0"/>
    <n v="89748"/>
  </r>
  <r>
    <d v="2025-08-05T15:34:59"/>
    <x v="0"/>
    <x v="0"/>
    <n v="124"/>
    <n v="1737"/>
    <x v="0"/>
    <x v="1"/>
    <x v="0"/>
    <n v="215388"/>
  </r>
  <r>
    <d v="2025-08-06T09:05:25"/>
    <x v="2"/>
    <x v="0"/>
    <n v="80"/>
    <n v="1623"/>
    <x v="3"/>
    <x v="2"/>
    <x v="0"/>
    <n v="129840"/>
  </r>
  <r>
    <d v="2025-08-07T02:35:50"/>
    <x v="4"/>
    <x v="0"/>
    <n v="141"/>
    <n v="1366"/>
    <x v="1"/>
    <x v="1"/>
    <x v="0"/>
    <n v="192606"/>
  </r>
  <r>
    <d v="2025-08-07T20:06:15"/>
    <x v="7"/>
    <x v="1"/>
    <n v="174"/>
    <n v="1622"/>
    <x v="3"/>
    <x v="1"/>
    <x v="1"/>
    <n v="282228"/>
  </r>
  <r>
    <d v="2025-08-08T13:36:40"/>
    <x v="7"/>
    <x v="0"/>
    <n v="175"/>
    <n v="903"/>
    <x v="2"/>
    <x v="2"/>
    <x v="1"/>
    <n v="158025"/>
  </r>
  <r>
    <d v="2025-08-09T07:07:06"/>
    <x v="3"/>
    <x v="0"/>
    <n v="138"/>
    <n v="896"/>
    <x v="1"/>
    <x v="0"/>
    <x v="0"/>
    <n v="123648"/>
  </r>
  <r>
    <d v="2025-08-10T00:37:31"/>
    <x v="6"/>
    <x v="1"/>
    <n v="145"/>
    <n v="1576"/>
    <x v="2"/>
    <x v="1"/>
    <x v="0"/>
    <n v="228520"/>
  </r>
  <r>
    <d v="2025-08-10T18:07:56"/>
    <x v="5"/>
    <x v="1"/>
    <n v="138"/>
    <n v="1538"/>
    <x v="3"/>
    <x v="1"/>
    <x v="1"/>
    <n v="212244"/>
  </r>
  <r>
    <d v="2025-08-11T11:38:21"/>
    <x v="2"/>
    <x v="0"/>
    <n v="94"/>
    <n v="1370"/>
    <x v="3"/>
    <x v="1"/>
    <x v="1"/>
    <n v="128780"/>
  </r>
  <r>
    <d v="2025-08-12T05:08:47"/>
    <x v="1"/>
    <x v="0"/>
    <n v="134"/>
    <n v="948"/>
    <x v="2"/>
    <x v="0"/>
    <x v="1"/>
    <n v="127032"/>
  </r>
  <r>
    <d v="2025-08-12T22:39:12"/>
    <x v="5"/>
    <x v="1"/>
    <n v="102"/>
    <n v="869"/>
    <x v="0"/>
    <x v="0"/>
    <x v="0"/>
    <n v="88638"/>
  </r>
  <r>
    <d v="2025-08-13T16:09:37"/>
    <x v="4"/>
    <x v="0"/>
    <n v="167"/>
    <n v="1739"/>
    <x v="2"/>
    <x v="2"/>
    <x v="1"/>
    <n v="290413"/>
  </r>
  <r>
    <d v="2025-08-14T09:40:02"/>
    <x v="6"/>
    <x v="0"/>
    <n v="154"/>
    <n v="1602"/>
    <x v="3"/>
    <x v="0"/>
    <x v="0"/>
    <n v="246708"/>
  </r>
  <r>
    <d v="2025-08-15T03:10:28"/>
    <x v="4"/>
    <x v="0"/>
    <n v="71"/>
    <n v="1422"/>
    <x v="2"/>
    <x v="2"/>
    <x v="0"/>
    <n v="100962"/>
  </r>
  <r>
    <d v="2025-08-15T20:40:53"/>
    <x v="0"/>
    <x v="1"/>
    <n v="106"/>
    <n v="1740"/>
    <x v="0"/>
    <x v="2"/>
    <x v="1"/>
    <n v="184440"/>
  </r>
  <r>
    <d v="2025-08-16T14:11:18"/>
    <x v="1"/>
    <x v="1"/>
    <n v="161"/>
    <n v="1339"/>
    <x v="2"/>
    <x v="0"/>
    <x v="0"/>
    <n v="215579"/>
  </r>
  <r>
    <d v="2025-08-17T07:41:43"/>
    <x v="0"/>
    <x v="1"/>
    <n v="140"/>
    <n v="1268"/>
    <x v="0"/>
    <x v="2"/>
    <x v="0"/>
    <n v="177520"/>
  </r>
  <r>
    <d v="2025-08-18T01:12:09"/>
    <x v="3"/>
    <x v="0"/>
    <n v="126"/>
    <n v="1539"/>
    <x v="0"/>
    <x v="0"/>
    <x v="0"/>
    <n v="193914"/>
  </r>
  <r>
    <d v="2025-08-18T18:42:34"/>
    <x v="4"/>
    <x v="0"/>
    <n v="65"/>
    <n v="1699"/>
    <x v="2"/>
    <x v="2"/>
    <x v="0"/>
    <n v="110435"/>
  </r>
  <r>
    <d v="2025-08-19T12:12:59"/>
    <x v="3"/>
    <x v="0"/>
    <n v="156"/>
    <n v="911"/>
    <x v="2"/>
    <x v="0"/>
    <x v="1"/>
    <n v="142116"/>
  </r>
  <r>
    <d v="2025-08-20T05:43:24"/>
    <x v="7"/>
    <x v="0"/>
    <n v="171"/>
    <n v="994"/>
    <x v="1"/>
    <x v="0"/>
    <x v="1"/>
    <n v="169974"/>
  </r>
  <r>
    <d v="2025-08-20T23:13:50"/>
    <x v="0"/>
    <x v="0"/>
    <n v="85"/>
    <n v="1065"/>
    <x v="3"/>
    <x v="2"/>
    <x v="0"/>
    <n v="90525"/>
  </r>
  <r>
    <d v="2025-08-21T16:44:15"/>
    <x v="6"/>
    <x v="0"/>
    <n v="63"/>
    <n v="852"/>
    <x v="0"/>
    <x v="1"/>
    <x v="0"/>
    <n v="53676"/>
  </r>
  <r>
    <d v="2025-08-22T10:14:40"/>
    <x v="4"/>
    <x v="0"/>
    <n v="74"/>
    <n v="1009"/>
    <x v="1"/>
    <x v="2"/>
    <x v="1"/>
    <n v="74666"/>
  </r>
  <r>
    <d v="2025-08-23T03:45:05"/>
    <x v="2"/>
    <x v="1"/>
    <n v="75"/>
    <n v="1588"/>
    <x v="2"/>
    <x v="0"/>
    <x v="0"/>
    <n v="119100"/>
  </r>
  <r>
    <d v="2025-08-23T21:15:31"/>
    <x v="1"/>
    <x v="0"/>
    <n v="45"/>
    <n v="1847"/>
    <x v="3"/>
    <x v="1"/>
    <x v="1"/>
    <n v="83115"/>
  </r>
  <r>
    <d v="2025-08-24T14:45:56"/>
    <x v="5"/>
    <x v="0"/>
    <n v="185"/>
    <n v="1630"/>
    <x v="1"/>
    <x v="2"/>
    <x v="0"/>
    <n v="301550"/>
  </r>
  <r>
    <d v="2025-08-25T08:16:21"/>
    <x v="6"/>
    <x v="0"/>
    <n v="35"/>
    <n v="969"/>
    <x v="0"/>
    <x v="2"/>
    <x v="0"/>
    <n v="33915"/>
  </r>
  <r>
    <d v="2025-08-26T01:46:46"/>
    <x v="6"/>
    <x v="0"/>
    <n v="80"/>
    <n v="1742"/>
    <x v="1"/>
    <x v="2"/>
    <x v="1"/>
    <n v="139360"/>
  </r>
  <r>
    <d v="2025-08-26T19:17:12"/>
    <x v="3"/>
    <x v="0"/>
    <n v="135"/>
    <n v="938"/>
    <x v="0"/>
    <x v="1"/>
    <x v="1"/>
    <n v="126630"/>
  </r>
  <r>
    <d v="2025-08-27T12:47:37"/>
    <x v="0"/>
    <x v="1"/>
    <n v="183"/>
    <n v="1178"/>
    <x v="2"/>
    <x v="0"/>
    <x v="1"/>
    <n v="215574"/>
  </r>
  <r>
    <d v="2025-08-28T06:18:02"/>
    <x v="4"/>
    <x v="0"/>
    <n v="124"/>
    <n v="1429"/>
    <x v="3"/>
    <x v="2"/>
    <x v="1"/>
    <n v="177196"/>
  </r>
  <r>
    <d v="2025-08-28T23:48:27"/>
    <x v="4"/>
    <x v="1"/>
    <n v="144"/>
    <n v="1759"/>
    <x v="3"/>
    <x v="2"/>
    <x v="0"/>
    <n v="253296"/>
  </r>
  <r>
    <d v="2025-08-29T17:18:53"/>
    <x v="7"/>
    <x v="1"/>
    <n v="198"/>
    <n v="1206"/>
    <x v="3"/>
    <x v="2"/>
    <x v="1"/>
    <n v="238788"/>
  </r>
  <r>
    <d v="2025-08-30T10:49:18"/>
    <x v="7"/>
    <x v="0"/>
    <n v="91"/>
    <n v="1459"/>
    <x v="2"/>
    <x v="2"/>
    <x v="0"/>
    <n v="132769"/>
  </r>
  <r>
    <d v="2025-08-31T04:19:43"/>
    <x v="1"/>
    <x v="0"/>
    <n v="35"/>
    <n v="1116"/>
    <x v="0"/>
    <x v="2"/>
    <x v="1"/>
    <n v="39060"/>
  </r>
  <r>
    <d v="2025-08-31T21:50:08"/>
    <x v="3"/>
    <x v="0"/>
    <n v="97"/>
    <n v="1466"/>
    <x v="2"/>
    <x v="0"/>
    <x v="1"/>
    <n v="142202"/>
  </r>
  <r>
    <d v="2025-09-01T15:20:34"/>
    <x v="6"/>
    <x v="0"/>
    <n v="89"/>
    <n v="1801"/>
    <x v="3"/>
    <x v="0"/>
    <x v="0"/>
    <n v="160289"/>
  </r>
  <r>
    <d v="2025-09-02T08:50:59"/>
    <x v="4"/>
    <x v="0"/>
    <n v="149"/>
    <n v="1172"/>
    <x v="2"/>
    <x v="2"/>
    <x v="1"/>
    <n v="174628"/>
  </r>
  <r>
    <d v="2025-09-03T02:21:24"/>
    <x v="2"/>
    <x v="1"/>
    <n v="177"/>
    <n v="1484"/>
    <x v="2"/>
    <x v="1"/>
    <x v="1"/>
    <n v="262668"/>
  </r>
  <r>
    <d v="2025-09-03T19:51:49"/>
    <x v="3"/>
    <x v="0"/>
    <n v="183"/>
    <n v="1837"/>
    <x v="2"/>
    <x v="0"/>
    <x v="1"/>
    <n v="336171"/>
  </r>
  <r>
    <d v="2025-09-04T13:22:15"/>
    <x v="1"/>
    <x v="0"/>
    <n v="87"/>
    <n v="1390"/>
    <x v="0"/>
    <x v="1"/>
    <x v="1"/>
    <n v="120930"/>
  </r>
  <r>
    <d v="2025-09-05T06:52:40"/>
    <x v="1"/>
    <x v="0"/>
    <n v="171"/>
    <n v="1498"/>
    <x v="1"/>
    <x v="0"/>
    <x v="0"/>
    <n v="256158"/>
  </r>
  <r>
    <d v="2025-09-06T00:23:05"/>
    <x v="3"/>
    <x v="0"/>
    <n v="91"/>
    <n v="1044"/>
    <x v="1"/>
    <x v="2"/>
    <x v="0"/>
    <n v="95004"/>
  </r>
  <r>
    <d v="2025-09-06T17:53:30"/>
    <x v="1"/>
    <x v="0"/>
    <n v="151"/>
    <n v="1770"/>
    <x v="2"/>
    <x v="0"/>
    <x v="1"/>
    <n v="267270"/>
  </r>
  <r>
    <d v="2025-09-07T11:23:56"/>
    <x v="3"/>
    <x v="0"/>
    <n v="188"/>
    <n v="1587"/>
    <x v="1"/>
    <x v="2"/>
    <x v="1"/>
    <n v="298356"/>
  </r>
  <r>
    <d v="2025-09-08T04:54:21"/>
    <x v="5"/>
    <x v="1"/>
    <n v="69"/>
    <n v="1181"/>
    <x v="1"/>
    <x v="0"/>
    <x v="1"/>
    <n v="81489"/>
  </r>
  <r>
    <d v="2025-09-08T22:24:46"/>
    <x v="3"/>
    <x v="0"/>
    <n v="97"/>
    <n v="1019"/>
    <x v="2"/>
    <x v="2"/>
    <x v="0"/>
    <n v="98843"/>
  </r>
  <r>
    <d v="2025-09-09T15:55:11"/>
    <x v="0"/>
    <x v="0"/>
    <n v="59"/>
    <n v="1370"/>
    <x v="2"/>
    <x v="2"/>
    <x v="0"/>
    <n v="80830"/>
  </r>
  <r>
    <d v="2025-09-10T09:25:37"/>
    <x v="3"/>
    <x v="0"/>
    <n v="124"/>
    <n v="1312"/>
    <x v="3"/>
    <x v="2"/>
    <x v="0"/>
    <n v="162688"/>
  </r>
  <r>
    <d v="2025-09-11T02:56:02"/>
    <x v="1"/>
    <x v="1"/>
    <n v="109"/>
    <n v="889"/>
    <x v="1"/>
    <x v="2"/>
    <x v="0"/>
    <n v="96901"/>
  </r>
  <r>
    <d v="2025-09-11T20:26:27"/>
    <x v="4"/>
    <x v="0"/>
    <n v="72"/>
    <n v="1386"/>
    <x v="0"/>
    <x v="1"/>
    <x v="1"/>
    <n v="99792"/>
  </r>
  <r>
    <d v="2025-09-12T13:56:52"/>
    <x v="0"/>
    <x v="0"/>
    <n v="164"/>
    <n v="1110"/>
    <x v="2"/>
    <x v="2"/>
    <x v="1"/>
    <n v="182040"/>
  </r>
  <r>
    <d v="2025-09-13T07:27:18"/>
    <x v="1"/>
    <x v="0"/>
    <n v="169"/>
    <n v="1244"/>
    <x v="3"/>
    <x v="1"/>
    <x v="1"/>
    <n v="210236"/>
  </r>
  <r>
    <d v="2025-09-14T00:57:43"/>
    <x v="7"/>
    <x v="0"/>
    <n v="196"/>
    <n v="1804"/>
    <x v="0"/>
    <x v="1"/>
    <x v="0"/>
    <n v="353584"/>
  </r>
  <r>
    <d v="2025-09-14T18:28:08"/>
    <x v="7"/>
    <x v="1"/>
    <n v="125"/>
    <n v="1075"/>
    <x v="1"/>
    <x v="2"/>
    <x v="1"/>
    <n v="134375"/>
  </r>
  <r>
    <d v="2025-09-15T11:58:33"/>
    <x v="4"/>
    <x v="1"/>
    <n v="51"/>
    <n v="1833"/>
    <x v="3"/>
    <x v="1"/>
    <x v="0"/>
    <n v="93483"/>
  </r>
  <r>
    <d v="2025-09-16T05:28:59"/>
    <x v="4"/>
    <x v="0"/>
    <n v="162"/>
    <n v="973"/>
    <x v="2"/>
    <x v="0"/>
    <x v="0"/>
    <n v="157626"/>
  </r>
  <r>
    <d v="2025-09-16T22:59:24"/>
    <x v="0"/>
    <x v="0"/>
    <n v="142"/>
    <n v="1824"/>
    <x v="0"/>
    <x v="2"/>
    <x v="1"/>
    <n v="259008"/>
  </r>
  <r>
    <d v="2025-09-17T16:29:49"/>
    <x v="5"/>
    <x v="0"/>
    <n v="186"/>
    <n v="887"/>
    <x v="2"/>
    <x v="1"/>
    <x v="1"/>
    <n v="164982"/>
  </r>
  <r>
    <d v="2025-09-18T10:00:14"/>
    <x v="4"/>
    <x v="0"/>
    <n v="59"/>
    <n v="1177"/>
    <x v="1"/>
    <x v="2"/>
    <x v="1"/>
    <n v="69443"/>
  </r>
  <r>
    <d v="2025-09-19T03:30:40"/>
    <x v="7"/>
    <x v="1"/>
    <n v="122"/>
    <n v="1100"/>
    <x v="0"/>
    <x v="2"/>
    <x v="0"/>
    <n v="134200"/>
  </r>
  <r>
    <d v="2025-09-19T21:01:05"/>
    <x v="3"/>
    <x v="1"/>
    <n v="195"/>
    <n v="1750"/>
    <x v="1"/>
    <x v="2"/>
    <x v="0"/>
    <n v="341250"/>
  </r>
  <r>
    <d v="2025-09-20T14:31:30"/>
    <x v="1"/>
    <x v="0"/>
    <n v="63"/>
    <n v="1025"/>
    <x v="1"/>
    <x v="1"/>
    <x v="1"/>
    <n v="64575"/>
  </r>
  <r>
    <d v="2025-09-21T08:01:55"/>
    <x v="7"/>
    <x v="1"/>
    <n v="97"/>
    <n v="1451"/>
    <x v="3"/>
    <x v="0"/>
    <x v="1"/>
    <n v="140747"/>
  </r>
  <r>
    <d v="2025-09-22T01:32:21"/>
    <x v="7"/>
    <x v="1"/>
    <n v="184"/>
    <n v="1763"/>
    <x v="2"/>
    <x v="0"/>
    <x v="0"/>
    <n v="324392"/>
  </r>
  <r>
    <d v="2025-09-22T19:02:46"/>
    <x v="5"/>
    <x v="1"/>
    <n v="188"/>
    <n v="1303"/>
    <x v="0"/>
    <x v="1"/>
    <x v="1"/>
    <n v="244964"/>
  </r>
  <r>
    <d v="2025-09-23T12:33:11"/>
    <x v="0"/>
    <x v="1"/>
    <n v="190"/>
    <n v="886"/>
    <x v="1"/>
    <x v="2"/>
    <x v="0"/>
    <n v="168340"/>
  </r>
  <r>
    <d v="2025-09-24T06:03:36"/>
    <x v="0"/>
    <x v="0"/>
    <n v="148"/>
    <n v="1165"/>
    <x v="1"/>
    <x v="1"/>
    <x v="0"/>
    <n v="172420"/>
  </r>
  <r>
    <d v="2025-09-24T23:34:02"/>
    <x v="6"/>
    <x v="0"/>
    <n v="83"/>
    <n v="1537"/>
    <x v="0"/>
    <x v="1"/>
    <x v="1"/>
    <n v="127571"/>
  </r>
  <r>
    <d v="2025-09-25T17:04:27"/>
    <x v="5"/>
    <x v="0"/>
    <n v="115"/>
    <n v="1822"/>
    <x v="1"/>
    <x v="1"/>
    <x v="1"/>
    <n v="209530"/>
  </r>
  <r>
    <d v="2025-09-26T10:34:52"/>
    <x v="3"/>
    <x v="1"/>
    <n v="118"/>
    <n v="1645"/>
    <x v="3"/>
    <x v="2"/>
    <x v="1"/>
    <n v="194110"/>
  </r>
  <r>
    <d v="2025-09-27T04:05:17"/>
    <x v="0"/>
    <x v="0"/>
    <n v="139"/>
    <n v="1814"/>
    <x v="3"/>
    <x v="1"/>
    <x v="1"/>
    <n v="252146"/>
  </r>
  <r>
    <d v="2025-09-27T21:35:43"/>
    <x v="1"/>
    <x v="0"/>
    <n v="182"/>
    <n v="1822"/>
    <x v="3"/>
    <x v="2"/>
    <x v="0"/>
    <n v="331604"/>
  </r>
  <r>
    <d v="2025-09-28T15:06:08"/>
    <x v="4"/>
    <x v="0"/>
    <n v="152"/>
    <n v="1442"/>
    <x v="3"/>
    <x v="1"/>
    <x v="0"/>
    <n v="219184"/>
  </r>
  <r>
    <d v="2025-09-29T08:36:33"/>
    <x v="5"/>
    <x v="0"/>
    <n v="120"/>
    <n v="963"/>
    <x v="1"/>
    <x v="0"/>
    <x v="0"/>
    <n v="115560"/>
  </r>
  <r>
    <d v="2025-09-30T02:06:58"/>
    <x v="4"/>
    <x v="0"/>
    <n v="97"/>
    <n v="889"/>
    <x v="0"/>
    <x v="1"/>
    <x v="1"/>
    <n v="86233"/>
  </r>
  <r>
    <d v="2025-09-30T19:37:24"/>
    <x v="7"/>
    <x v="0"/>
    <n v="138"/>
    <n v="1150"/>
    <x v="0"/>
    <x v="1"/>
    <x v="0"/>
    <n v="158700"/>
  </r>
  <r>
    <d v="2025-10-01T13:07:49"/>
    <x v="1"/>
    <x v="0"/>
    <n v="83"/>
    <n v="1073"/>
    <x v="0"/>
    <x v="0"/>
    <x v="1"/>
    <n v="89059"/>
  </r>
  <r>
    <d v="2025-10-02T06:38:14"/>
    <x v="1"/>
    <x v="0"/>
    <n v="105"/>
    <n v="1167"/>
    <x v="0"/>
    <x v="2"/>
    <x v="1"/>
    <n v="122535"/>
  </r>
  <r>
    <d v="2025-10-03T00:08:39"/>
    <x v="7"/>
    <x v="1"/>
    <n v="35"/>
    <n v="1198"/>
    <x v="2"/>
    <x v="2"/>
    <x v="1"/>
    <n v="41930"/>
  </r>
  <r>
    <d v="2025-10-03T17:39:05"/>
    <x v="5"/>
    <x v="0"/>
    <n v="175"/>
    <n v="964"/>
    <x v="0"/>
    <x v="1"/>
    <x v="1"/>
    <n v="168700"/>
  </r>
  <r>
    <d v="2025-10-04T11:09:30"/>
    <x v="7"/>
    <x v="0"/>
    <n v="157"/>
    <n v="1547"/>
    <x v="2"/>
    <x v="0"/>
    <x v="1"/>
    <n v="242879"/>
  </r>
  <r>
    <d v="2025-10-05T04:39:55"/>
    <x v="4"/>
    <x v="1"/>
    <n v="96"/>
    <n v="1172"/>
    <x v="2"/>
    <x v="2"/>
    <x v="1"/>
    <n v="112512"/>
  </r>
  <r>
    <d v="2025-10-05T22:10:20"/>
    <x v="6"/>
    <x v="1"/>
    <n v="66"/>
    <n v="1417"/>
    <x v="3"/>
    <x v="1"/>
    <x v="0"/>
    <n v="93522"/>
  </r>
  <r>
    <d v="2025-10-06T15:40:46"/>
    <x v="1"/>
    <x v="0"/>
    <n v="192"/>
    <n v="889"/>
    <x v="2"/>
    <x v="0"/>
    <x v="1"/>
    <n v="170688"/>
  </r>
  <r>
    <d v="2025-10-07T09:11:11"/>
    <x v="2"/>
    <x v="0"/>
    <n v="63"/>
    <n v="1715"/>
    <x v="1"/>
    <x v="2"/>
    <x v="0"/>
    <n v="108045"/>
  </r>
  <r>
    <d v="2025-10-08T02:41:36"/>
    <x v="2"/>
    <x v="0"/>
    <n v="83"/>
    <n v="889"/>
    <x v="2"/>
    <x v="2"/>
    <x v="0"/>
    <n v="73787"/>
  </r>
  <r>
    <d v="2025-10-08T20:12:01"/>
    <x v="4"/>
    <x v="0"/>
    <n v="64"/>
    <n v="1708"/>
    <x v="3"/>
    <x v="0"/>
    <x v="1"/>
    <n v="109312"/>
  </r>
  <r>
    <d v="2025-10-09T13:42:27"/>
    <x v="3"/>
    <x v="1"/>
    <n v="178"/>
    <n v="1822"/>
    <x v="2"/>
    <x v="0"/>
    <x v="1"/>
    <n v="324316"/>
  </r>
  <r>
    <d v="2025-10-10T07:12:52"/>
    <x v="0"/>
    <x v="1"/>
    <n v="53"/>
    <n v="1598"/>
    <x v="1"/>
    <x v="0"/>
    <x v="1"/>
    <n v="84694"/>
  </r>
  <r>
    <d v="2025-10-11T00:43:17"/>
    <x v="7"/>
    <x v="1"/>
    <n v="52"/>
    <n v="1138"/>
    <x v="1"/>
    <x v="0"/>
    <x v="0"/>
    <n v="59176"/>
  </r>
  <r>
    <d v="2025-10-11T18:13:42"/>
    <x v="7"/>
    <x v="1"/>
    <n v="35"/>
    <n v="1111"/>
    <x v="1"/>
    <x v="1"/>
    <x v="1"/>
    <n v="38885"/>
  </r>
  <r>
    <d v="2025-10-12T11:44:08"/>
    <x v="3"/>
    <x v="0"/>
    <n v="112"/>
    <n v="1065"/>
    <x v="3"/>
    <x v="0"/>
    <x v="0"/>
    <n v="119280"/>
  </r>
  <r>
    <d v="2025-10-13T05:14:33"/>
    <x v="3"/>
    <x v="0"/>
    <n v="149"/>
    <n v="996"/>
    <x v="3"/>
    <x v="2"/>
    <x v="1"/>
    <n v="148404"/>
  </r>
  <r>
    <d v="2025-10-13T22:44:58"/>
    <x v="4"/>
    <x v="0"/>
    <n v="147"/>
    <n v="1185"/>
    <x v="0"/>
    <x v="2"/>
    <x v="1"/>
    <n v="174195"/>
  </r>
  <r>
    <d v="2025-10-14T16:15:23"/>
    <x v="4"/>
    <x v="0"/>
    <n v="148"/>
    <n v="1017"/>
    <x v="3"/>
    <x v="1"/>
    <x v="0"/>
    <n v="150516"/>
  </r>
  <r>
    <d v="2025-10-15T09:45:49"/>
    <x v="3"/>
    <x v="0"/>
    <n v="97"/>
    <n v="941"/>
    <x v="1"/>
    <x v="2"/>
    <x v="0"/>
    <n v="91277"/>
  </r>
  <r>
    <d v="2025-10-16T03:16:14"/>
    <x v="1"/>
    <x v="1"/>
    <n v="166"/>
    <n v="1202"/>
    <x v="1"/>
    <x v="2"/>
    <x v="1"/>
    <n v="199532"/>
  </r>
  <r>
    <d v="2025-10-16T20:46:39"/>
    <x v="4"/>
    <x v="0"/>
    <n v="163"/>
    <n v="1420"/>
    <x v="3"/>
    <x v="0"/>
    <x v="0"/>
    <n v="231460"/>
  </r>
  <r>
    <d v="2025-10-17T14:17:04"/>
    <x v="6"/>
    <x v="1"/>
    <n v="42"/>
    <n v="1420"/>
    <x v="2"/>
    <x v="2"/>
    <x v="0"/>
    <n v="59640"/>
  </r>
  <r>
    <d v="2025-10-18T07:47:30"/>
    <x v="4"/>
    <x v="0"/>
    <n v="191"/>
    <n v="1665"/>
    <x v="3"/>
    <x v="1"/>
    <x v="0"/>
    <n v="318015"/>
  </r>
  <r>
    <d v="2025-10-19T01:17:55"/>
    <x v="7"/>
    <x v="0"/>
    <n v="89"/>
    <n v="1530"/>
    <x v="3"/>
    <x v="0"/>
    <x v="0"/>
    <n v="136170"/>
  </r>
  <r>
    <d v="2025-10-19T18:48:20"/>
    <x v="4"/>
    <x v="0"/>
    <n v="137"/>
    <n v="1630"/>
    <x v="1"/>
    <x v="0"/>
    <x v="0"/>
    <n v="223310"/>
  </r>
  <r>
    <d v="2025-10-20T12:18:45"/>
    <x v="1"/>
    <x v="0"/>
    <n v="165"/>
    <n v="1212"/>
    <x v="0"/>
    <x v="1"/>
    <x v="1"/>
    <n v="199980"/>
  </r>
  <r>
    <d v="2025-10-21T05:49:11"/>
    <x v="3"/>
    <x v="1"/>
    <n v="66"/>
    <n v="1406"/>
    <x v="1"/>
    <x v="0"/>
    <x v="1"/>
    <n v="92796"/>
  </r>
  <r>
    <d v="2025-10-21T23:19:36"/>
    <x v="7"/>
    <x v="0"/>
    <n v="44"/>
    <n v="1194"/>
    <x v="0"/>
    <x v="0"/>
    <x v="0"/>
    <n v="52536"/>
  </r>
  <r>
    <d v="2025-10-22T16:50:01"/>
    <x v="4"/>
    <x v="0"/>
    <n v="144"/>
    <n v="1542"/>
    <x v="1"/>
    <x v="1"/>
    <x v="1"/>
    <n v="222048"/>
  </r>
  <r>
    <d v="2025-10-23T10:20:26"/>
    <x v="1"/>
    <x v="1"/>
    <n v="196"/>
    <n v="1019"/>
    <x v="3"/>
    <x v="0"/>
    <x v="1"/>
    <n v="199724"/>
  </r>
  <r>
    <d v="2025-10-24T03:50:52"/>
    <x v="6"/>
    <x v="0"/>
    <n v="158"/>
    <n v="1205"/>
    <x v="1"/>
    <x v="1"/>
    <x v="0"/>
    <n v="190390"/>
  </r>
  <r>
    <d v="2025-10-24T21:21:17"/>
    <x v="4"/>
    <x v="0"/>
    <n v="121"/>
    <n v="1040"/>
    <x v="1"/>
    <x v="1"/>
    <x v="1"/>
    <n v="125840"/>
  </r>
  <r>
    <d v="2025-10-25T14:51:42"/>
    <x v="1"/>
    <x v="0"/>
    <n v="89"/>
    <n v="1516"/>
    <x v="1"/>
    <x v="2"/>
    <x v="0"/>
    <n v="134924"/>
  </r>
  <r>
    <d v="2025-10-26T08:22:07"/>
    <x v="6"/>
    <x v="0"/>
    <n v="66"/>
    <n v="1271"/>
    <x v="3"/>
    <x v="2"/>
    <x v="0"/>
    <n v="83886"/>
  </r>
  <r>
    <d v="2025-10-27T01:52:33"/>
    <x v="3"/>
    <x v="0"/>
    <n v="169"/>
    <n v="1549"/>
    <x v="3"/>
    <x v="0"/>
    <x v="1"/>
    <n v="261781"/>
  </r>
  <r>
    <d v="2025-10-27T19:22:58"/>
    <x v="4"/>
    <x v="1"/>
    <n v="127"/>
    <n v="856"/>
    <x v="3"/>
    <x v="0"/>
    <x v="0"/>
    <n v="108712"/>
  </r>
  <r>
    <d v="2025-10-28T12:53:23"/>
    <x v="6"/>
    <x v="0"/>
    <n v="42"/>
    <n v="982"/>
    <x v="3"/>
    <x v="1"/>
    <x v="0"/>
    <n v="41244"/>
  </r>
  <r>
    <d v="2025-10-29T06:23:48"/>
    <x v="7"/>
    <x v="0"/>
    <n v="99"/>
    <n v="1596"/>
    <x v="0"/>
    <x v="0"/>
    <x v="0"/>
    <n v="158004"/>
  </r>
  <r>
    <d v="2025-10-29T23:54:14"/>
    <x v="3"/>
    <x v="0"/>
    <n v="91"/>
    <n v="1406"/>
    <x v="0"/>
    <x v="1"/>
    <x v="0"/>
    <n v="127946"/>
  </r>
  <r>
    <d v="2025-10-30T17:24:39"/>
    <x v="7"/>
    <x v="0"/>
    <n v="101"/>
    <n v="1675"/>
    <x v="2"/>
    <x v="1"/>
    <x v="0"/>
    <n v="169175"/>
  </r>
  <r>
    <d v="2025-10-31T10:55:04"/>
    <x v="2"/>
    <x v="0"/>
    <n v="106"/>
    <n v="1610"/>
    <x v="3"/>
    <x v="0"/>
    <x v="1"/>
    <n v="170660"/>
  </r>
  <r>
    <d v="2025-11-01T04:25:29"/>
    <x v="5"/>
    <x v="0"/>
    <n v="88"/>
    <n v="880"/>
    <x v="0"/>
    <x v="1"/>
    <x v="1"/>
    <n v="77440"/>
  </r>
  <r>
    <d v="2025-11-01T21:55:55"/>
    <x v="4"/>
    <x v="1"/>
    <n v="101"/>
    <n v="1384"/>
    <x v="1"/>
    <x v="2"/>
    <x v="0"/>
    <n v="139784"/>
  </r>
  <r>
    <d v="2025-11-02T15:26:20"/>
    <x v="6"/>
    <x v="0"/>
    <n v="85"/>
    <n v="1275"/>
    <x v="3"/>
    <x v="0"/>
    <x v="0"/>
    <n v="108375"/>
  </r>
  <r>
    <d v="2025-11-03T08:56:45"/>
    <x v="5"/>
    <x v="0"/>
    <n v="131"/>
    <n v="1243"/>
    <x v="2"/>
    <x v="2"/>
    <x v="1"/>
    <n v="162833"/>
  </r>
  <r>
    <d v="2025-11-04T02:27:10"/>
    <x v="5"/>
    <x v="0"/>
    <n v="126"/>
    <n v="1521"/>
    <x v="2"/>
    <x v="0"/>
    <x v="0"/>
    <n v="191646"/>
  </r>
  <r>
    <d v="2025-11-04T19:57:36"/>
    <x v="6"/>
    <x v="0"/>
    <n v="42"/>
    <n v="1212"/>
    <x v="2"/>
    <x v="1"/>
    <x v="1"/>
    <n v="50904"/>
  </r>
  <r>
    <d v="2025-11-05T13:28:01"/>
    <x v="3"/>
    <x v="1"/>
    <n v="196"/>
    <n v="1286"/>
    <x v="1"/>
    <x v="0"/>
    <x v="0"/>
    <n v="252056"/>
  </r>
  <r>
    <d v="2025-11-06T06:58:26"/>
    <x v="4"/>
    <x v="0"/>
    <n v="69"/>
    <n v="1519"/>
    <x v="0"/>
    <x v="2"/>
    <x v="0"/>
    <n v="104811"/>
  </r>
  <r>
    <d v="2025-11-07T00:28:51"/>
    <x v="2"/>
    <x v="0"/>
    <n v="130"/>
    <n v="1400"/>
    <x v="1"/>
    <x v="1"/>
    <x v="0"/>
    <n v="182000"/>
  </r>
  <r>
    <d v="2025-11-07T17:59:17"/>
    <x v="7"/>
    <x v="0"/>
    <n v="122"/>
    <n v="1776"/>
    <x v="3"/>
    <x v="0"/>
    <x v="0"/>
    <n v="216672"/>
  </r>
  <r>
    <d v="2025-11-08T11:29:42"/>
    <x v="1"/>
    <x v="0"/>
    <n v="112"/>
    <n v="931"/>
    <x v="2"/>
    <x v="0"/>
    <x v="0"/>
    <n v="104272"/>
  </r>
  <r>
    <d v="2025-11-09T05:00:07"/>
    <x v="7"/>
    <x v="0"/>
    <n v="66"/>
    <n v="1205"/>
    <x v="1"/>
    <x v="0"/>
    <x v="0"/>
    <n v="79530"/>
  </r>
  <r>
    <d v="2025-11-09T22:30:32"/>
    <x v="1"/>
    <x v="0"/>
    <n v="154"/>
    <n v="1107"/>
    <x v="1"/>
    <x v="2"/>
    <x v="0"/>
    <n v="170478"/>
  </r>
  <r>
    <d v="2025-11-10T16:00:58"/>
    <x v="7"/>
    <x v="1"/>
    <n v="80"/>
    <n v="1567"/>
    <x v="0"/>
    <x v="2"/>
    <x v="1"/>
    <n v="125360"/>
  </r>
  <r>
    <d v="2025-11-11T09:31:23"/>
    <x v="6"/>
    <x v="1"/>
    <n v="178"/>
    <n v="1438"/>
    <x v="0"/>
    <x v="0"/>
    <x v="1"/>
    <n v="255964"/>
  </r>
  <r>
    <d v="2025-11-12T03:01:48"/>
    <x v="2"/>
    <x v="0"/>
    <n v="199"/>
    <n v="1838"/>
    <x v="2"/>
    <x v="1"/>
    <x v="1"/>
    <n v="365762"/>
  </r>
  <r>
    <d v="2025-11-12T20:32:13"/>
    <x v="4"/>
    <x v="0"/>
    <n v="176"/>
    <n v="1373"/>
    <x v="1"/>
    <x v="1"/>
    <x v="0"/>
    <n v="241648"/>
  </r>
  <r>
    <d v="2025-11-13T14:02:39"/>
    <x v="1"/>
    <x v="0"/>
    <n v="89"/>
    <n v="1144"/>
    <x v="1"/>
    <x v="2"/>
    <x v="0"/>
    <n v="101816"/>
  </r>
  <r>
    <d v="2025-11-14T07:33:04"/>
    <x v="4"/>
    <x v="1"/>
    <n v="41"/>
    <n v="1811"/>
    <x v="0"/>
    <x v="1"/>
    <x v="0"/>
    <n v="74251"/>
  </r>
  <r>
    <d v="2025-11-15T01:03:29"/>
    <x v="4"/>
    <x v="0"/>
    <n v="108"/>
    <n v="1073"/>
    <x v="1"/>
    <x v="2"/>
    <x v="0"/>
    <n v="115884"/>
  </r>
  <r>
    <d v="2025-11-15T18:33:54"/>
    <x v="4"/>
    <x v="1"/>
    <n v="41"/>
    <n v="1374"/>
    <x v="1"/>
    <x v="0"/>
    <x v="0"/>
    <n v="56334"/>
  </r>
  <r>
    <d v="2025-11-16T12:04:20"/>
    <x v="0"/>
    <x v="0"/>
    <n v="195"/>
    <n v="895"/>
    <x v="1"/>
    <x v="2"/>
    <x v="0"/>
    <n v="174525"/>
  </r>
  <r>
    <d v="2025-11-17T05:34:45"/>
    <x v="3"/>
    <x v="0"/>
    <n v="185"/>
    <n v="1516"/>
    <x v="0"/>
    <x v="2"/>
    <x v="0"/>
    <n v="280460"/>
  </r>
  <r>
    <d v="2025-11-17T23:05:10"/>
    <x v="7"/>
    <x v="0"/>
    <n v="119"/>
    <n v="962"/>
    <x v="2"/>
    <x v="0"/>
    <x v="1"/>
    <n v="114478"/>
  </r>
  <r>
    <d v="2025-11-18T16:35:35"/>
    <x v="4"/>
    <x v="0"/>
    <n v="181"/>
    <n v="1082"/>
    <x v="3"/>
    <x v="1"/>
    <x v="0"/>
    <n v="195842"/>
  </r>
  <r>
    <d v="2025-11-19T10:06:01"/>
    <x v="7"/>
    <x v="1"/>
    <n v="146"/>
    <n v="866"/>
    <x v="2"/>
    <x v="2"/>
    <x v="1"/>
    <n v="126436"/>
  </r>
  <r>
    <d v="2025-11-20T03:36:26"/>
    <x v="4"/>
    <x v="0"/>
    <n v="159"/>
    <n v="1209"/>
    <x v="3"/>
    <x v="2"/>
    <x v="1"/>
    <n v="192231"/>
  </r>
  <r>
    <d v="2025-11-20T21:06:51"/>
    <x v="1"/>
    <x v="0"/>
    <n v="181"/>
    <n v="1072"/>
    <x v="1"/>
    <x v="0"/>
    <x v="0"/>
    <n v="194032"/>
  </r>
  <r>
    <d v="2025-11-21T14:37:16"/>
    <x v="3"/>
    <x v="1"/>
    <n v="70"/>
    <n v="1715"/>
    <x v="2"/>
    <x v="1"/>
    <x v="0"/>
    <n v="120050"/>
  </r>
  <r>
    <d v="2025-11-22T08:07:42"/>
    <x v="3"/>
    <x v="0"/>
    <n v="63"/>
    <n v="1549"/>
    <x v="3"/>
    <x v="2"/>
    <x v="1"/>
    <n v="97587"/>
  </r>
  <r>
    <d v="2025-11-23T01:38:07"/>
    <x v="6"/>
    <x v="0"/>
    <n v="116"/>
    <n v="1297"/>
    <x v="0"/>
    <x v="0"/>
    <x v="1"/>
    <n v="150452"/>
  </r>
  <r>
    <d v="2025-11-23T19:08:32"/>
    <x v="0"/>
    <x v="1"/>
    <n v="36"/>
    <n v="1705"/>
    <x v="0"/>
    <x v="2"/>
    <x v="0"/>
    <n v="61380"/>
  </r>
  <r>
    <d v="2025-11-24T12:38:57"/>
    <x v="6"/>
    <x v="1"/>
    <n v="163"/>
    <n v="1214"/>
    <x v="2"/>
    <x v="0"/>
    <x v="0"/>
    <n v="197882"/>
  </r>
  <r>
    <d v="2025-11-25T06:09:23"/>
    <x v="6"/>
    <x v="1"/>
    <n v="81"/>
    <n v="1524"/>
    <x v="2"/>
    <x v="1"/>
    <x v="1"/>
    <n v="123444"/>
  </r>
  <r>
    <d v="2025-11-25T23:39:48"/>
    <x v="6"/>
    <x v="1"/>
    <n v="182"/>
    <n v="1175"/>
    <x v="1"/>
    <x v="1"/>
    <x v="0"/>
    <n v="213850"/>
  </r>
  <r>
    <d v="2025-11-26T17:10:13"/>
    <x v="6"/>
    <x v="1"/>
    <n v="45"/>
    <n v="1316"/>
    <x v="2"/>
    <x v="1"/>
    <x v="0"/>
    <n v="59220"/>
  </r>
  <r>
    <d v="2025-11-27T10:40:38"/>
    <x v="6"/>
    <x v="0"/>
    <n v="164"/>
    <n v="1263"/>
    <x v="1"/>
    <x v="1"/>
    <x v="0"/>
    <n v="207132"/>
  </r>
  <r>
    <d v="2025-11-28T04:11:04"/>
    <x v="2"/>
    <x v="0"/>
    <n v="153"/>
    <n v="1304"/>
    <x v="1"/>
    <x v="2"/>
    <x v="1"/>
    <n v="199512"/>
  </r>
  <r>
    <d v="2025-11-28T21:41:29"/>
    <x v="3"/>
    <x v="1"/>
    <n v="174"/>
    <n v="1435"/>
    <x v="0"/>
    <x v="2"/>
    <x v="1"/>
    <n v="249690"/>
  </r>
  <r>
    <d v="2025-11-29T15:11:54"/>
    <x v="6"/>
    <x v="0"/>
    <n v="54"/>
    <n v="1082"/>
    <x v="0"/>
    <x v="1"/>
    <x v="1"/>
    <n v="58428"/>
  </r>
  <r>
    <d v="2025-11-30T08:42:19"/>
    <x v="4"/>
    <x v="1"/>
    <n v="39"/>
    <n v="1073"/>
    <x v="3"/>
    <x v="1"/>
    <x v="0"/>
    <n v="41847"/>
  </r>
  <r>
    <d v="2025-12-01T02:12:45"/>
    <x v="3"/>
    <x v="0"/>
    <n v="71"/>
    <n v="1843"/>
    <x v="0"/>
    <x v="1"/>
    <x v="0"/>
    <n v="130853"/>
  </r>
  <r>
    <d v="2025-12-01T19:43:10"/>
    <x v="3"/>
    <x v="1"/>
    <n v="171"/>
    <n v="1680"/>
    <x v="0"/>
    <x v="2"/>
    <x v="1"/>
    <n v="287280"/>
  </r>
  <r>
    <d v="2025-12-02T13:13:35"/>
    <x v="5"/>
    <x v="1"/>
    <n v="87"/>
    <n v="1261"/>
    <x v="2"/>
    <x v="1"/>
    <x v="1"/>
    <n v="109707"/>
  </r>
  <r>
    <d v="2025-12-03T06:44:00"/>
    <x v="2"/>
    <x v="0"/>
    <n v="133"/>
    <n v="1421"/>
    <x v="0"/>
    <x v="1"/>
    <x v="1"/>
    <n v="188993"/>
  </r>
  <r>
    <d v="2025-12-04T00:14:26"/>
    <x v="6"/>
    <x v="0"/>
    <n v="120"/>
    <n v="1184"/>
    <x v="3"/>
    <x v="1"/>
    <x v="0"/>
    <n v="142080"/>
  </r>
  <r>
    <d v="2025-12-04T17:44:51"/>
    <x v="7"/>
    <x v="0"/>
    <n v="142"/>
    <n v="1071"/>
    <x v="2"/>
    <x v="0"/>
    <x v="1"/>
    <n v="152082"/>
  </r>
  <r>
    <d v="2025-12-05T11:15:16"/>
    <x v="1"/>
    <x v="0"/>
    <n v="58"/>
    <n v="886"/>
    <x v="3"/>
    <x v="1"/>
    <x v="1"/>
    <n v="51388"/>
  </r>
  <r>
    <d v="2025-12-06T04:45:41"/>
    <x v="0"/>
    <x v="0"/>
    <n v="115"/>
    <n v="1838"/>
    <x v="0"/>
    <x v="0"/>
    <x v="0"/>
    <n v="211370"/>
  </r>
  <r>
    <d v="2025-12-06T22:16:07"/>
    <x v="4"/>
    <x v="0"/>
    <n v="192"/>
    <n v="1127"/>
    <x v="3"/>
    <x v="0"/>
    <x v="0"/>
    <n v="216384"/>
  </r>
  <r>
    <d v="2025-12-07T15:46:32"/>
    <x v="7"/>
    <x v="0"/>
    <n v="154"/>
    <n v="1045"/>
    <x v="2"/>
    <x v="1"/>
    <x v="0"/>
    <n v="160930"/>
  </r>
  <r>
    <d v="2025-12-08T09:16:57"/>
    <x v="2"/>
    <x v="0"/>
    <n v="93"/>
    <n v="1765"/>
    <x v="1"/>
    <x v="0"/>
    <x v="1"/>
    <n v="164145"/>
  </r>
  <r>
    <d v="2025-12-09T02:47:22"/>
    <x v="1"/>
    <x v="0"/>
    <n v="162"/>
    <n v="1713"/>
    <x v="3"/>
    <x v="1"/>
    <x v="0"/>
    <n v="277506"/>
  </r>
  <r>
    <d v="2025-12-09T20:17:48"/>
    <x v="2"/>
    <x v="1"/>
    <n v="148"/>
    <n v="1333"/>
    <x v="3"/>
    <x v="2"/>
    <x v="0"/>
    <n v="197284"/>
  </r>
  <r>
    <d v="2025-12-10T13:48:13"/>
    <x v="4"/>
    <x v="1"/>
    <n v="149"/>
    <n v="1091"/>
    <x v="2"/>
    <x v="2"/>
    <x v="1"/>
    <n v="162559"/>
  </r>
  <r>
    <d v="2025-12-11T07:18:38"/>
    <x v="3"/>
    <x v="0"/>
    <n v="48"/>
    <n v="1173"/>
    <x v="2"/>
    <x v="2"/>
    <x v="0"/>
    <n v="56304"/>
  </r>
  <r>
    <d v="2025-12-12T00:49:03"/>
    <x v="1"/>
    <x v="0"/>
    <n v="43"/>
    <n v="1580"/>
    <x v="3"/>
    <x v="2"/>
    <x v="1"/>
    <n v="67940"/>
  </r>
  <r>
    <d v="2025-12-12T18:19:29"/>
    <x v="3"/>
    <x v="0"/>
    <n v="74"/>
    <n v="1041"/>
    <x v="0"/>
    <x v="0"/>
    <x v="1"/>
    <n v="77034"/>
  </r>
  <r>
    <d v="2025-12-13T11:49:54"/>
    <x v="4"/>
    <x v="1"/>
    <n v="59"/>
    <n v="866"/>
    <x v="3"/>
    <x v="1"/>
    <x v="0"/>
    <n v="51094"/>
  </r>
  <r>
    <d v="2025-12-14T05:20:19"/>
    <x v="7"/>
    <x v="1"/>
    <n v="137"/>
    <n v="1373"/>
    <x v="2"/>
    <x v="1"/>
    <x v="0"/>
    <n v="188101"/>
  </r>
  <r>
    <d v="2025-12-14T22:50:44"/>
    <x v="4"/>
    <x v="1"/>
    <n v="56"/>
    <n v="1767"/>
    <x v="1"/>
    <x v="1"/>
    <x v="0"/>
    <n v="98952"/>
  </r>
  <r>
    <d v="2025-12-15T16:21:10"/>
    <x v="7"/>
    <x v="1"/>
    <n v="38"/>
    <n v="1250"/>
    <x v="1"/>
    <x v="2"/>
    <x v="0"/>
    <n v="47500"/>
  </r>
  <r>
    <d v="2025-12-16T09:51:35"/>
    <x v="1"/>
    <x v="1"/>
    <n v="188"/>
    <n v="1755"/>
    <x v="0"/>
    <x v="2"/>
    <x v="0"/>
    <n v="329940"/>
  </r>
  <r>
    <d v="2025-12-17T03:22:00"/>
    <x v="1"/>
    <x v="1"/>
    <n v="63"/>
    <n v="1735"/>
    <x v="3"/>
    <x v="1"/>
    <x v="0"/>
    <n v="109305"/>
  </r>
  <r>
    <d v="2025-12-17T20:52:25"/>
    <x v="6"/>
    <x v="1"/>
    <n v="143"/>
    <n v="1554"/>
    <x v="1"/>
    <x v="2"/>
    <x v="1"/>
    <n v="222222"/>
  </r>
  <r>
    <d v="2025-12-18T14:22:51"/>
    <x v="2"/>
    <x v="0"/>
    <n v="132"/>
    <n v="871"/>
    <x v="3"/>
    <x v="1"/>
    <x v="1"/>
    <n v="114972"/>
  </r>
  <r>
    <d v="2025-12-19T07:53:16"/>
    <x v="6"/>
    <x v="0"/>
    <n v="71"/>
    <n v="1323"/>
    <x v="2"/>
    <x v="1"/>
    <x v="0"/>
    <n v="93933"/>
  </r>
  <r>
    <d v="2025-12-20T01:23:41"/>
    <x v="2"/>
    <x v="0"/>
    <n v="109"/>
    <n v="969"/>
    <x v="1"/>
    <x v="1"/>
    <x v="1"/>
    <n v="105621"/>
  </r>
  <r>
    <d v="2025-12-20T18:54:06"/>
    <x v="6"/>
    <x v="0"/>
    <n v="104"/>
    <n v="1059"/>
    <x v="0"/>
    <x v="1"/>
    <x v="0"/>
    <n v="110136"/>
  </r>
  <r>
    <d v="2025-12-21T12:24:32"/>
    <x v="3"/>
    <x v="1"/>
    <n v="180"/>
    <n v="1155"/>
    <x v="2"/>
    <x v="1"/>
    <x v="1"/>
    <n v="207900"/>
  </r>
  <r>
    <d v="2025-12-22T05:54:57"/>
    <x v="1"/>
    <x v="0"/>
    <n v="162"/>
    <n v="1119"/>
    <x v="0"/>
    <x v="1"/>
    <x v="1"/>
    <n v="181278"/>
  </r>
  <r>
    <d v="2025-12-22T23:25:22"/>
    <x v="7"/>
    <x v="1"/>
    <n v="119"/>
    <n v="1553"/>
    <x v="2"/>
    <x v="1"/>
    <x v="1"/>
    <n v="184807"/>
  </r>
  <r>
    <d v="2025-12-23T16:55:47"/>
    <x v="2"/>
    <x v="0"/>
    <n v="76"/>
    <n v="1536"/>
    <x v="1"/>
    <x v="2"/>
    <x v="0"/>
    <n v="116736"/>
  </r>
  <r>
    <d v="2025-12-24T10:26:13"/>
    <x v="4"/>
    <x v="0"/>
    <n v="134"/>
    <n v="1134"/>
    <x v="0"/>
    <x v="1"/>
    <x v="1"/>
    <n v="151956"/>
  </r>
  <r>
    <d v="2025-12-25T03:56:38"/>
    <x v="2"/>
    <x v="1"/>
    <n v="75"/>
    <n v="1565"/>
    <x v="0"/>
    <x v="1"/>
    <x v="0"/>
    <n v="117375"/>
  </r>
  <r>
    <d v="2025-12-25T21:27:03"/>
    <x v="7"/>
    <x v="0"/>
    <n v="68"/>
    <n v="1525"/>
    <x v="2"/>
    <x v="2"/>
    <x v="1"/>
    <n v="103700"/>
  </r>
  <r>
    <d v="2025-12-26T14:57:28"/>
    <x v="6"/>
    <x v="1"/>
    <n v="51"/>
    <n v="1612"/>
    <x v="0"/>
    <x v="2"/>
    <x v="1"/>
    <n v="82212"/>
  </r>
  <r>
    <d v="2025-12-27T08:27:54"/>
    <x v="2"/>
    <x v="0"/>
    <n v="199"/>
    <n v="1076"/>
    <x v="2"/>
    <x v="2"/>
    <x v="1"/>
    <n v="214124"/>
  </r>
  <r>
    <d v="2025-12-28T01:58:19"/>
    <x v="0"/>
    <x v="0"/>
    <n v="187"/>
    <n v="1797"/>
    <x v="2"/>
    <x v="1"/>
    <x v="1"/>
    <n v="336039"/>
  </r>
  <r>
    <d v="2025-12-28T19:28:44"/>
    <x v="3"/>
    <x v="0"/>
    <n v="156"/>
    <n v="1230"/>
    <x v="2"/>
    <x v="0"/>
    <x v="1"/>
    <n v="191880"/>
  </r>
  <r>
    <d v="2025-12-29T12:59:09"/>
    <x v="1"/>
    <x v="0"/>
    <n v="110"/>
    <n v="1309"/>
    <x v="2"/>
    <x v="0"/>
    <x v="0"/>
    <n v="143990"/>
  </r>
  <r>
    <d v="2025-12-30T06:29:35"/>
    <x v="7"/>
    <x v="1"/>
    <n v="121"/>
    <n v="856"/>
    <x v="1"/>
    <x v="2"/>
    <x v="0"/>
    <n v="103576"/>
  </r>
  <r>
    <d v="2025-12-31T00:00:00"/>
    <x v="1"/>
    <x v="0"/>
    <n v="151"/>
    <n v="878"/>
    <x v="2"/>
    <x v="0"/>
    <x v="1"/>
    <n v="132578"/>
  </r>
</pivotCacheRecords>
</file>

<file path=xl/pivotCache/pivotCacheRecords2.xml><?xml version="1.0" encoding="utf-8"?>
<pivotCacheRecords xmlns="http://schemas.openxmlformats.org/spreadsheetml/2006/mai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rishtinaRealEstatePivots_3" cacheId="71" applyNumberFormats="0" applyBorderFormats="0" applyFontFormats="0" applyPatternFormats="0" applyAlignmentFormats="0" applyWidthHeightFormats="1" dataCaption="Values" updatedVersion="3" minRefreshableVersion="3" useAutoFormatting="1" colGrandTotals="0" itemPrintTitles="1" createdVersion="3" indent="0" compact="0" multipleFieldFilters="0">
  <location ref="N1:O2" firstHeaderRow="1" firstDataRow="1" firstDataCol="1"/>
  <pivotFields count="9">
    <pivotField showAll="0"/>
    <pivotField showAll="0"/>
    <pivotField dataField="1" showAll="0"/>
    <pivotField showAll="0"/>
    <pivotField showAll="0"/>
    <pivotField showAll="0"/>
    <pivotField axis="axisRow" showAll="0">
      <items count="1">
        <item t="default"/>
      </items>
    </pivotField>
    <pivotField showAll="0"/>
    <pivotField showAll="0"/>
  </pivotFields>
  <rowFields count="1">
    <field x="6"/>
  </rowFields>
  <dataFields count="1">
    <dataField name="Count of PropertyType" fld="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59D88-E8D8-B34A-BC26-1E6BB5090045}" name="PivotTable4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K7" firstHeaderRow="1" firstDataRow="1" firstDataCol="1"/>
  <pivotFields count="9">
    <pivotField numFmtId="164" showAll="0"/>
    <pivotField showAll="0">
      <items count="9">
        <item x="1"/>
        <item x="3"/>
        <item x="5"/>
        <item x="0"/>
        <item x="6"/>
        <item x="2"/>
        <item x="7"/>
        <item x="4"/>
        <item t="default"/>
      </items>
    </pivotField>
    <pivotField showAll="0"/>
    <pivotField showAll="0"/>
    <pivotField numFmtId="165" showAll="0"/>
    <pivotField axis="axisRow" showAll="0">
      <items count="5">
        <item x="1"/>
        <item x="2"/>
        <item x="0"/>
        <item x="3"/>
        <item t="default"/>
      </items>
    </pivotField>
    <pivotField showAll="0">
      <items count="4">
        <item x="2"/>
        <item x="1"/>
        <item x="0"/>
        <item t="default"/>
      </items>
    </pivotField>
    <pivotField showAll="0"/>
    <pivotField dataField="1" numFmtId="165" showAll="0"/>
  </pivotFields>
  <rowFields count="1">
    <field x="5"/>
  </rowFields>
  <rowItems count="5">
    <i>
      <x/>
    </i>
    <i>
      <x v="1"/>
    </i>
    <i>
      <x v="2"/>
    </i>
    <i>
      <x v="3"/>
    </i>
    <i t="grand">
      <x/>
    </i>
  </rowItems>
  <colItems count="1">
    <i/>
  </colItems>
  <dataFields count="1">
    <dataField name="Sum of Total_Price" fld="8" baseField="0" baseItem="0"/>
  </dataFields>
  <formats count="2">
    <format dxfId="195">
      <pivotArea outline="0" collapsedLevelsAreSubtotals="1" fieldPosition="0"/>
    </format>
    <format dxfId="19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FC5B7-8798-6E41-9914-C0C6A316246D}" name="PivotTable3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C11" firstHeaderRow="1" firstDataRow="1" firstDataCol="1"/>
  <pivotFields count="9">
    <pivotField numFmtId="164" showAll="0"/>
    <pivotField axis="axisRow" showAll="0">
      <items count="9">
        <item x="1"/>
        <item x="3"/>
        <item x="5"/>
        <item x="0"/>
        <item x="6"/>
        <item x="2"/>
        <item x="7"/>
        <item x="4"/>
        <item t="default"/>
      </items>
    </pivotField>
    <pivotField showAll="0"/>
    <pivotField showAll="0"/>
    <pivotField numFmtId="165" showAll="0"/>
    <pivotField showAll="0">
      <items count="5">
        <item x="1"/>
        <item x="2"/>
        <item x="0"/>
        <item x="3"/>
        <item t="default"/>
      </items>
    </pivotField>
    <pivotField showAll="0">
      <items count="4">
        <item x="2"/>
        <item x="1"/>
        <item x="0"/>
        <item t="default"/>
      </items>
    </pivotField>
    <pivotField showAll="0"/>
    <pivotField dataField="1" numFmtId="165" showAll="0"/>
  </pivotFields>
  <rowFields count="1">
    <field x="1"/>
  </rowFields>
  <rowItems count="9">
    <i>
      <x/>
    </i>
    <i>
      <x v="1"/>
    </i>
    <i>
      <x v="2"/>
    </i>
    <i>
      <x v="3"/>
    </i>
    <i>
      <x v="4"/>
    </i>
    <i>
      <x v="5"/>
    </i>
    <i>
      <x v="6"/>
    </i>
    <i>
      <x v="7"/>
    </i>
    <i t="grand">
      <x/>
    </i>
  </rowItems>
  <colItems count="1">
    <i/>
  </colItems>
  <dataFields count="1">
    <dataField name="Sum of Total_Price" fld="8" baseField="0" baseItem="0" numFmtId="165"/>
  </dataFields>
  <formats count="2">
    <format dxfId="197">
      <pivotArea outline="0" collapsedLevelsAreSubtotals="1" fieldPosition="0"/>
    </format>
    <format dxfId="19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8AB8F8-2D88-0D4D-B265-32F26459FB57}" name="PivotTable4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N6" firstHeaderRow="1" firstDataRow="1" firstDataCol="1"/>
  <pivotFields count="9">
    <pivotField numFmtId="164" showAll="0"/>
    <pivotField showAll="0">
      <items count="9">
        <item x="1"/>
        <item x="3"/>
        <item x="5"/>
        <item x="0"/>
        <item x="6"/>
        <item x="2"/>
        <item x="7"/>
        <item x="4"/>
        <item t="default"/>
      </items>
    </pivotField>
    <pivotField dataField="1" showAll="0">
      <items count="3">
        <item x="0"/>
        <item x="1"/>
        <item t="default"/>
      </items>
    </pivotField>
    <pivotField showAll="0"/>
    <pivotField numFmtId="165" showAll="0"/>
    <pivotField showAll="0">
      <items count="5">
        <item x="1"/>
        <item x="2"/>
        <item x="0"/>
        <item x="3"/>
        <item t="default"/>
      </items>
    </pivotField>
    <pivotField axis="axisRow" showAll="0">
      <items count="4">
        <item x="2"/>
        <item x="1"/>
        <item x="0"/>
        <item t="default"/>
      </items>
    </pivotField>
    <pivotField showAll="0"/>
    <pivotField numFmtId="165" showAll="0"/>
  </pivotFields>
  <rowFields count="1">
    <field x="6"/>
  </rowFields>
  <rowItems count="4">
    <i>
      <x/>
    </i>
    <i>
      <x v="1"/>
    </i>
    <i>
      <x v="2"/>
    </i>
    <i t="grand">
      <x/>
    </i>
  </rowItems>
  <colItems count="1">
    <i/>
  </colItems>
  <dataFields count="1">
    <dataField name="Count of PropertyType" fld="2" subtotal="count" baseField="0" baseItem="0"/>
  </dataFields>
  <formats count="4">
    <format dxfId="199">
      <pivotArea outline="0" collapsedLevelsAreSubtotals="1" fieldPosition="0"/>
    </format>
    <format dxfId="198">
      <pivotArea dataOnly="0" labelOnly="1" outline="0" axis="axisValues" fieldPosition="0"/>
    </format>
    <format dxfId="193">
      <pivotArea collapsedLevelsAreSubtotals="1" fieldPosition="0">
        <references count="1">
          <reference field="6" count="0"/>
        </references>
      </pivotArea>
    </format>
    <format dxfId="191">
      <pivotArea grandRow="1"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EF47C2-6B31-9E4E-8553-F280E9D70B4D}" name="PivotTable4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0" firstHeaderRow="1" firstDataRow="1" firstDataCol="1"/>
  <pivotFields count="9">
    <pivotField numFmtId="164" showAll="0"/>
    <pivotField showAll="0">
      <items count="9">
        <item x="1"/>
        <item x="3"/>
        <item x="5"/>
        <item x="0"/>
        <item x="6"/>
        <item x="2"/>
        <item x="7"/>
        <item x="4"/>
        <item t="default"/>
      </items>
    </pivotField>
    <pivotField axis="axisRow" showAll="0">
      <items count="3">
        <item x="0"/>
        <item x="1"/>
        <item t="default"/>
      </items>
    </pivotField>
    <pivotField showAll="0"/>
    <pivotField numFmtId="165" showAll="0"/>
    <pivotField showAll="0">
      <items count="5">
        <item x="1"/>
        <item x="2"/>
        <item x="0"/>
        <item x="3"/>
        <item t="default"/>
      </items>
    </pivotField>
    <pivotField showAll="0">
      <items count="4">
        <item x="2"/>
        <item x="1"/>
        <item x="0"/>
        <item t="default"/>
      </items>
    </pivotField>
    <pivotField axis="axisRow" showAll="0">
      <items count="3">
        <item x="1"/>
        <item x="0"/>
        <item t="default"/>
      </items>
    </pivotField>
    <pivotField dataField="1" numFmtId="165" showAll="0"/>
  </pivotFields>
  <rowFields count="2">
    <field x="2"/>
    <field x="7"/>
  </rowFields>
  <rowItems count="7">
    <i>
      <x/>
    </i>
    <i r="1">
      <x/>
    </i>
    <i r="1">
      <x v="1"/>
    </i>
    <i>
      <x v="1"/>
    </i>
    <i r="1">
      <x/>
    </i>
    <i r="1">
      <x v="1"/>
    </i>
    <i t="grand">
      <x/>
    </i>
  </rowItems>
  <colItems count="1">
    <i/>
  </colItems>
  <dataFields count="1">
    <dataField name="Sum of Total_Price" fld="8" baseField="0" baseItem="0"/>
  </dataFields>
  <formats count="2">
    <format dxfId="201">
      <pivotArea outline="0" collapsedLevelsAreSubtotals="1" fieldPosition="0"/>
    </format>
    <format dxfId="2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ighborhood" xr10:uid="{DECF61E2-4002-CA48-B41B-B56D638BF176}" sourceName="Neighborhood">
  <pivotTables>
    <pivotTable tabId="2" name="PivotTable39"/>
    <pivotTable tabId="2" name="PivotTable41"/>
    <pivotTable tabId="2" name="PivotTable42"/>
    <pivotTable tabId="2" name="PivotTable43"/>
  </pivotTables>
  <data>
    <tabular pivotCacheId="253896683">
      <items count="8">
        <i x="1" s="1"/>
        <i x="3" s="1"/>
        <i x="5" s="1"/>
        <i x="0" s="1"/>
        <i x="6"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EABFC1BE-7CC3-4741-BA00-6357C53A4517}" sourceName="Bedrooms">
  <pivotTables>
    <pivotTable tabId="2" name="PivotTable39"/>
    <pivotTable tabId="2" name="PivotTable41"/>
    <pivotTable tabId="2" name="PivotTable42"/>
    <pivotTable tabId="2" name="PivotTable43"/>
  </pivotTables>
  <data>
    <tabular pivotCacheId="253896683">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7311D612-128F-5C46-BA0D-924BB419A185}" sourceName="Condition">
  <pivotTables>
    <pivotTable tabId="2" name="PivotTable39"/>
    <pivotTable tabId="2" name="PivotTable41"/>
    <pivotTable tabId="2" name="PivotTable42"/>
    <pivotTable tabId="2" name="PivotTable43"/>
  </pivotTables>
  <data>
    <tabular pivotCacheId="25389668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ighborhood" xr10:uid="{46894E77-C029-294D-9087-E2BE28BDE273}" cache="Slicer_Neighborhood" caption="Neighborhood" columnCount="2" style="SlicerStyleLight5" rowHeight="230716"/>
  <slicer name="Bedrooms" xr10:uid="{C7DFD5BA-D5F3-004C-801C-DAE54B7B6B32}" cache="Slicer_Bedrooms" caption="Bedrooms" style="SlicerStyleLight5" rowHeight="230716"/>
  <slicer name="Condition" xr10:uid="{D71086B0-5F29-4640-84CA-0E7DAA3E77E3}" cache="Slicer_Condition" caption="Condition" style="SlicerStyleLight5"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ighborhood 1" xr10:uid="{73D26C98-BB9C-144F-B825-605A4390CBC1}" cache="Slicer_Neighborhood" caption="Neighborhood" columnCount="2" style="SlicerStyleLight5" rowHeight="230716"/>
  <slicer name="Bedrooms 1" xr10:uid="{1B89558C-A96C-E748-8306-DC82D29F8BA3}" cache="Slicer_Bedrooms" caption="Bedrooms" style="SlicerStyleLight5" rowHeight="230716"/>
  <slicer name="Condition 1" xr10:uid="{E42A5BDE-7AE8-FA4D-BCE1-75D1637828C0}" cache="Slicer_Condition" caption="Condition"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EFBF6-2BDE-8C48-81A5-CFCC11FF2FF1}" name="Table1" displayName="Table1" ref="A1:I502" totalsRowCount="1" headerRowDxfId="210" headerRowBorderDxfId="209" tableBorderDxfId="208">
  <autoFilter ref="A1:I501" xr:uid="{355EFBF6-2BDE-8C48-81A5-CFCC11FF2FF1}"/>
  <tableColumns count="9">
    <tableColumn id="1" xr3:uid="{CD84E373-373C-5748-A895-9A782DC42745}" name="Date" dataDxfId="207" totalsRowDxfId="206"/>
    <tableColumn id="2" xr3:uid="{DB31E8A2-EBFC-E74B-BD6D-2E649D4CEAA2}" name="Neighborhood"/>
    <tableColumn id="3" xr3:uid="{14541526-2070-E34C-8235-E248A2AD51A1}" name="PropertyType"/>
    <tableColumn id="4" xr3:uid="{79EF364F-1463-3B4D-9FA1-F9E453EBC7C6}" name="Size_m2"/>
    <tableColumn id="5" xr3:uid="{889D7CED-BD2E-A645-8C26-7B1F5E6C6A0C}" name="Price_per_m2" totalsRowFunction="custom" dataDxfId="205" totalsRowDxfId="204">
      <totalsRowFormula>AVERAGE(Table1[Price_per_m2])</totalsRowFormula>
    </tableColumn>
    <tableColumn id="6" xr3:uid="{46E9698A-E3FD-1D4D-B3EF-60EEA4D1A77E}" name="Bedrooms"/>
    <tableColumn id="7" xr3:uid="{4563615D-5941-ED40-A912-36AEA694DA05}" name="Condition"/>
    <tableColumn id="8" xr3:uid="{6C96683D-8AD4-6D4E-9FAA-2822CA8FB53B}" name="Seller_Type"/>
    <tableColumn id="9" xr3:uid="{B572D59B-319A-E841-B937-947D06C10CE6}" name="Total_Price" totalsRowFunction="sum" dataDxfId="203" totalsRowDxfId="20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2"/>
  <sheetViews>
    <sheetView topLeftCell="A476" workbookViewId="0">
      <selection activeCell="F505" sqref="F505"/>
    </sheetView>
  </sheetViews>
  <sheetFormatPr baseColWidth="10" defaultColWidth="8.83203125" defaultRowHeight="15"/>
  <cols>
    <col min="1" max="1" width="17.6640625" bestFit="1" customWidth="1"/>
    <col min="2" max="2" width="14.6640625" customWidth="1"/>
    <col min="3" max="3" width="14" customWidth="1"/>
    <col min="4" max="4" width="9.83203125" customWidth="1"/>
    <col min="5" max="5" width="15.33203125" style="2" customWidth="1"/>
    <col min="6" max="6" width="11.33203125" customWidth="1"/>
    <col min="7" max="7" width="11.1640625" customWidth="1"/>
    <col min="8" max="8" width="12.5" customWidth="1"/>
    <col min="9" max="9" width="20.1640625" style="2" customWidth="1"/>
  </cols>
  <sheetData>
    <row r="1" spans="1:9">
      <c r="A1" s="3" t="s">
        <v>0</v>
      </c>
      <c r="B1" s="3" t="s">
        <v>1</v>
      </c>
      <c r="C1" s="3" t="s">
        <v>2</v>
      </c>
      <c r="D1" s="3" t="s">
        <v>3</v>
      </c>
      <c r="E1" s="4" t="s">
        <v>4</v>
      </c>
      <c r="F1" s="3" t="s">
        <v>5</v>
      </c>
      <c r="G1" s="3" t="s">
        <v>6</v>
      </c>
      <c r="H1" s="3" t="s">
        <v>7</v>
      </c>
      <c r="I1" s="4" t="s">
        <v>8</v>
      </c>
    </row>
    <row r="2" spans="1:9">
      <c r="A2" s="1">
        <v>45658</v>
      </c>
      <c r="B2" t="s">
        <v>9</v>
      </c>
      <c r="C2" t="s">
        <v>17</v>
      </c>
      <c r="D2">
        <v>108</v>
      </c>
      <c r="E2" s="2">
        <v>1723</v>
      </c>
      <c r="F2">
        <v>3</v>
      </c>
      <c r="G2" t="s">
        <v>19</v>
      </c>
      <c r="H2" t="s">
        <v>22</v>
      </c>
      <c r="I2" s="2">
        <v>186084</v>
      </c>
    </row>
    <row r="3" spans="1:9">
      <c r="A3" s="1">
        <v>45658.729458917827</v>
      </c>
      <c r="B3" t="s">
        <v>10</v>
      </c>
      <c r="C3" t="s">
        <v>17</v>
      </c>
      <c r="D3">
        <v>51</v>
      </c>
      <c r="E3" s="2">
        <v>1191</v>
      </c>
      <c r="F3">
        <v>1</v>
      </c>
      <c r="G3" t="s">
        <v>20</v>
      </c>
      <c r="H3" t="s">
        <v>22</v>
      </c>
      <c r="I3" s="2">
        <v>60741</v>
      </c>
    </row>
    <row r="4" spans="1:9">
      <c r="A4" s="1">
        <v>45659.458917835669</v>
      </c>
      <c r="B4" t="s">
        <v>11</v>
      </c>
      <c r="C4" t="s">
        <v>17</v>
      </c>
      <c r="D4">
        <v>118</v>
      </c>
      <c r="E4" s="2">
        <v>1830</v>
      </c>
      <c r="F4">
        <v>2</v>
      </c>
      <c r="G4" t="s">
        <v>19</v>
      </c>
      <c r="H4" t="s">
        <v>23</v>
      </c>
      <c r="I4" s="2">
        <v>215940</v>
      </c>
    </row>
    <row r="5" spans="1:9">
      <c r="A5" s="1">
        <v>45660.188376753496</v>
      </c>
      <c r="B5" t="s">
        <v>9</v>
      </c>
      <c r="C5" t="s">
        <v>17</v>
      </c>
      <c r="D5">
        <v>103</v>
      </c>
      <c r="E5" s="2">
        <v>876</v>
      </c>
      <c r="F5">
        <v>3</v>
      </c>
      <c r="G5" t="s">
        <v>20</v>
      </c>
      <c r="H5" t="s">
        <v>23</v>
      </c>
      <c r="I5" s="2">
        <v>90228</v>
      </c>
    </row>
    <row r="6" spans="1:9">
      <c r="A6" s="1">
        <v>45660.917835671353</v>
      </c>
      <c r="B6" t="s">
        <v>12</v>
      </c>
      <c r="C6" t="s">
        <v>17</v>
      </c>
      <c r="D6">
        <v>68</v>
      </c>
      <c r="E6" s="2">
        <v>1674</v>
      </c>
      <c r="F6">
        <v>3</v>
      </c>
      <c r="G6" t="s">
        <v>21</v>
      </c>
      <c r="H6" t="s">
        <v>23</v>
      </c>
      <c r="I6" s="2">
        <v>113832</v>
      </c>
    </row>
    <row r="7" spans="1:9">
      <c r="A7" s="1">
        <v>45661.64729458918</v>
      </c>
      <c r="B7" t="s">
        <v>13</v>
      </c>
      <c r="C7" t="s">
        <v>17</v>
      </c>
      <c r="D7">
        <v>40</v>
      </c>
      <c r="E7" s="2">
        <v>1136</v>
      </c>
      <c r="F7">
        <v>4</v>
      </c>
      <c r="G7" t="s">
        <v>20</v>
      </c>
      <c r="H7" t="s">
        <v>22</v>
      </c>
      <c r="I7" s="2">
        <v>45440</v>
      </c>
    </row>
    <row r="8" spans="1:9">
      <c r="A8" s="1">
        <v>45662.376753507007</v>
      </c>
      <c r="B8" t="s">
        <v>11</v>
      </c>
      <c r="C8" t="s">
        <v>18</v>
      </c>
      <c r="D8">
        <v>87</v>
      </c>
      <c r="E8" s="2">
        <v>1495</v>
      </c>
      <c r="F8">
        <v>3</v>
      </c>
      <c r="G8" t="s">
        <v>20</v>
      </c>
      <c r="H8" t="s">
        <v>23</v>
      </c>
      <c r="I8" s="2">
        <v>130065</v>
      </c>
    </row>
    <row r="9" spans="1:9">
      <c r="A9" s="1">
        <v>45663.106212424849</v>
      </c>
      <c r="B9" t="s">
        <v>11</v>
      </c>
      <c r="C9" t="s">
        <v>17</v>
      </c>
      <c r="D9">
        <v>160</v>
      </c>
      <c r="E9" s="2">
        <v>1580</v>
      </c>
      <c r="F9">
        <v>3</v>
      </c>
      <c r="G9" t="s">
        <v>19</v>
      </c>
      <c r="H9" t="s">
        <v>22</v>
      </c>
      <c r="I9" s="2">
        <v>252800</v>
      </c>
    </row>
    <row r="10" spans="1:9">
      <c r="A10" s="1">
        <v>45663.835671342677</v>
      </c>
      <c r="B10" t="s">
        <v>9</v>
      </c>
      <c r="C10" t="s">
        <v>18</v>
      </c>
      <c r="D10">
        <v>77</v>
      </c>
      <c r="E10" s="2">
        <v>1017</v>
      </c>
      <c r="F10">
        <v>2</v>
      </c>
      <c r="G10" t="s">
        <v>19</v>
      </c>
      <c r="H10" t="s">
        <v>23</v>
      </c>
      <c r="I10" s="2">
        <v>78309</v>
      </c>
    </row>
    <row r="11" spans="1:9">
      <c r="A11" s="1">
        <v>45664.565130260518</v>
      </c>
      <c r="B11" t="s">
        <v>14</v>
      </c>
      <c r="C11" t="s">
        <v>17</v>
      </c>
      <c r="D11">
        <v>149</v>
      </c>
      <c r="E11" s="2">
        <v>1459</v>
      </c>
      <c r="F11">
        <v>3</v>
      </c>
      <c r="G11" t="s">
        <v>21</v>
      </c>
      <c r="H11" t="s">
        <v>23</v>
      </c>
      <c r="I11" s="2">
        <v>217391</v>
      </c>
    </row>
    <row r="12" spans="1:9">
      <c r="A12" s="1">
        <v>45665.294589178353</v>
      </c>
      <c r="B12" t="s">
        <v>12</v>
      </c>
      <c r="C12" t="s">
        <v>18</v>
      </c>
      <c r="D12">
        <v>145</v>
      </c>
      <c r="E12" s="2">
        <v>1117</v>
      </c>
      <c r="F12">
        <v>2</v>
      </c>
      <c r="G12" t="s">
        <v>20</v>
      </c>
      <c r="H12" t="s">
        <v>23</v>
      </c>
      <c r="I12" s="2">
        <v>161965</v>
      </c>
    </row>
    <row r="13" spans="1:9">
      <c r="A13" s="1">
        <v>45666.024048096187</v>
      </c>
      <c r="B13" t="s">
        <v>9</v>
      </c>
      <c r="C13" t="s">
        <v>18</v>
      </c>
      <c r="D13">
        <v>185</v>
      </c>
      <c r="E13" s="2">
        <v>1598</v>
      </c>
      <c r="F13">
        <v>2</v>
      </c>
      <c r="G13" t="s">
        <v>20</v>
      </c>
      <c r="H13" t="s">
        <v>22</v>
      </c>
      <c r="I13" s="2">
        <v>295630</v>
      </c>
    </row>
    <row r="14" spans="1:9">
      <c r="A14" s="1">
        <v>45666.753507014029</v>
      </c>
      <c r="B14" t="s">
        <v>12</v>
      </c>
      <c r="C14" t="s">
        <v>17</v>
      </c>
      <c r="D14">
        <v>114</v>
      </c>
      <c r="E14" s="2">
        <v>1670</v>
      </c>
      <c r="F14">
        <v>2</v>
      </c>
      <c r="G14" t="s">
        <v>20</v>
      </c>
      <c r="H14" t="s">
        <v>22</v>
      </c>
      <c r="I14" s="2">
        <v>190380</v>
      </c>
    </row>
    <row r="15" spans="1:9">
      <c r="A15" s="1">
        <v>45667.482965931857</v>
      </c>
      <c r="B15" t="s">
        <v>12</v>
      </c>
      <c r="C15" t="s">
        <v>18</v>
      </c>
      <c r="D15">
        <v>129</v>
      </c>
      <c r="E15" s="2">
        <v>1304</v>
      </c>
      <c r="F15">
        <v>2</v>
      </c>
      <c r="G15" t="s">
        <v>21</v>
      </c>
      <c r="H15" t="s">
        <v>23</v>
      </c>
      <c r="I15" s="2">
        <v>168216</v>
      </c>
    </row>
    <row r="16" spans="1:9">
      <c r="A16" s="1">
        <v>45668.212424849698</v>
      </c>
      <c r="B16" t="s">
        <v>13</v>
      </c>
      <c r="C16" t="s">
        <v>18</v>
      </c>
      <c r="D16">
        <v>152</v>
      </c>
      <c r="E16" s="2">
        <v>1755</v>
      </c>
      <c r="F16">
        <v>1</v>
      </c>
      <c r="G16" t="s">
        <v>21</v>
      </c>
      <c r="H16" t="s">
        <v>23</v>
      </c>
      <c r="I16" s="2">
        <v>266760</v>
      </c>
    </row>
    <row r="17" spans="1:9">
      <c r="A17" s="1">
        <v>45668.941883767533</v>
      </c>
      <c r="B17" t="s">
        <v>11</v>
      </c>
      <c r="C17" t="s">
        <v>17</v>
      </c>
      <c r="D17">
        <v>178</v>
      </c>
      <c r="E17" s="2">
        <v>1534</v>
      </c>
      <c r="F17">
        <v>4</v>
      </c>
      <c r="G17" t="s">
        <v>21</v>
      </c>
      <c r="H17" t="s">
        <v>23</v>
      </c>
      <c r="I17" s="2">
        <v>273052</v>
      </c>
    </row>
    <row r="18" spans="1:9">
      <c r="A18" s="1">
        <v>45669.671342685368</v>
      </c>
      <c r="B18" t="s">
        <v>10</v>
      </c>
      <c r="C18" t="s">
        <v>18</v>
      </c>
      <c r="D18">
        <v>42</v>
      </c>
      <c r="E18" s="2">
        <v>1250</v>
      </c>
      <c r="F18">
        <v>1</v>
      </c>
      <c r="G18" t="s">
        <v>21</v>
      </c>
      <c r="H18" t="s">
        <v>22</v>
      </c>
      <c r="I18" s="2">
        <v>52500</v>
      </c>
    </row>
    <row r="19" spans="1:9">
      <c r="A19" s="1">
        <v>45670.400801603209</v>
      </c>
      <c r="B19" t="s">
        <v>13</v>
      </c>
      <c r="C19" t="s">
        <v>17</v>
      </c>
      <c r="D19">
        <v>166</v>
      </c>
      <c r="E19" s="2">
        <v>1771</v>
      </c>
      <c r="F19">
        <v>3</v>
      </c>
      <c r="G19" t="s">
        <v>21</v>
      </c>
      <c r="H19" t="s">
        <v>23</v>
      </c>
      <c r="I19" s="2">
        <v>293986</v>
      </c>
    </row>
    <row r="20" spans="1:9">
      <c r="A20" s="1">
        <v>45671.130260521037</v>
      </c>
      <c r="B20" t="s">
        <v>13</v>
      </c>
      <c r="C20" t="s">
        <v>18</v>
      </c>
      <c r="D20">
        <v>138</v>
      </c>
      <c r="E20" s="2">
        <v>1830</v>
      </c>
      <c r="F20">
        <v>1</v>
      </c>
      <c r="G20" t="s">
        <v>19</v>
      </c>
      <c r="H20" t="s">
        <v>22</v>
      </c>
      <c r="I20" s="2">
        <v>252540</v>
      </c>
    </row>
    <row r="21" spans="1:9">
      <c r="A21" s="1">
        <v>45671.859719438879</v>
      </c>
      <c r="B21" t="s">
        <v>12</v>
      </c>
      <c r="C21" t="s">
        <v>17</v>
      </c>
      <c r="D21">
        <v>166</v>
      </c>
      <c r="E21" s="2">
        <v>1325</v>
      </c>
      <c r="F21">
        <v>1</v>
      </c>
      <c r="G21" t="s">
        <v>20</v>
      </c>
      <c r="H21" t="s">
        <v>23</v>
      </c>
      <c r="I21" s="2">
        <v>219950</v>
      </c>
    </row>
    <row r="22" spans="1:9">
      <c r="A22" s="1">
        <v>45672.589178356713</v>
      </c>
      <c r="B22" t="s">
        <v>15</v>
      </c>
      <c r="C22" t="s">
        <v>17</v>
      </c>
      <c r="D22">
        <v>59</v>
      </c>
      <c r="E22" s="2">
        <v>1551</v>
      </c>
      <c r="F22">
        <v>3</v>
      </c>
      <c r="G22" t="s">
        <v>20</v>
      </c>
      <c r="H22" t="s">
        <v>23</v>
      </c>
      <c r="I22" s="2">
        <v>91509</v>
      </c>
    </row>
    <row r="23" spans="1:9">
      <c r="A23" s="1">
        <v>45673.318637274548</v>
      </c>
      <c r="B23" t="s">
        <v>11</v>
      </c>
      <c r="C23" t="s">
        <v>18</v>
      </c>
      <c r="D23">
        <v>130</v>
      </c>
      <c r="E23" s="2">
        <v>1483</v>
      </c>
      <c r="F23">
        <v>3</v>
      </c>
      <c r="G23" t="s">
        <v>20</v>
      </c>
      <c r="H23" t="s">
        <v>23</v>
      </c>
      <c r="I23" s="2">
        <v>192790</v>
      </c>
    </row>
    <row r="24" spans="1:9">
      <c r="A24" s="1">
        <v>45674.048096192382</v>
      </c>
      <c r="B24" t="s">
        <v>14</v>
      </c>
      <c r="C24" t="s">
        <v>18</v>
      </c>
      <c r="D24">
        <v>189</v>
      </c>
      <c r="E24" s="2">
        <v>1407</v>
      </c>
      <c r="F24">
        <v>3</v>
      </c>
      <c r="G24" t="s">
        <v>20</v>
      </c>
      <c r="H24" t="s">
        <v>23</v>
      </c>
      <c r="I24" s="2">
        <v>265923</v>
      </c>
    </row>
    <row r="25" spans="1:9">
      <c r="A25" s="1">
        <v>45674.777555110217</v>
      </c>
      <c r="B25" t="s">
        <v>13</v>
      </c>
      <c r="C25" t="s">
        <v>18</v>
      </c>
      <c r="D25">
        <v>127</v>
      </c>
      <c r="E25" s="2">
        <v>1425</v>
      </c>
      <c r="F25">
        <v>1</v>
      </c>
      <c r="G25" t="s">
        <v>20</v>
      </c>
      <c r="H25" t="s">
        <v>23</v>
      </c>
      <c r="I25" s="2">
        <v>180975</v>
      </c>
    </row>
    <row r="26" spans="1:9">
      <c r="A26" s="1">
        <v>45675.507014028059</v>
      </c>
      <c r="B26" t="s">
        <v>10</v>
      </c>
      <c r="C26" t="s">
        <v>17</v>
      </c>
      <c r="D26">
        <v>194</v>
      </c>
      <c r="E26" s="2">
        <v>979</v>
      </c>
      <c r="F26">
        <v>1</v>
      </c>
      <c r="G26" t="s">
        <v>20</v>
      </c>
      <c r="H26" t="s">
        <v>23</v>
      </c>
      <c r="I26" s="2">
        <v>189926</v>
      </c>
    </row>
    <row r="27" spans="1:9">
      <c r="A27" s="1">
        <v>45676.236472945893</v>
      </c>
      <c r="B27" t="s">
        <v>15</v>
      </c>
      <c r="C27" t="s">
        <v>17</v>
      </c>
      <c r="D27">
        <v>95</v>
      </c>
      <c r="E27" s="2">
        <v>1671</v>
      </c>
      <c r="F27">
        <v>3</v>
      </c>
      <c r="G27" t="s">
        <v>20</v>
      </c>
      <c r="H27" t="s">
        <v>22</v>
      </c>
      <c r="I27" s="2">
        <v>158745</v>
      </c>
    </row>
    <row r="28" spans="1:9">
      <c r="A28" s="1">
        <v>45676.965931863728</v>
      </c>
      <c r="B28" t="s">
        <v>15</v>
      </c>
      <c r="C28" t="s">
        <v>17</v>
      </c>
      <c r="D28">
        <v>156</v>
      </c>
      <c r="E28" s="2">
        <v>1212</v>
      </c>
      <c r="F28">
        <v>4</v>
      </c>
      <c r="G28" t="s">
        <v>20</v>
      </c>
      <c r="H28" t="s">
        <v>23</v>
      </c>
      <c r="I28" s="2">
        <v>189072</v>
      </c>
    </row>
    <row r="29" spans="1:9">
      <c r="A29" s="1">
        <v>45677.695390781562</v>
      </c>
      <c r="B29" t="s">
        <v>14</v>
      </c>
      <c r="C29" t="s">
        <v>17</v>
      </c>
      <c r="D29">
        <v>85</v>
      </c>
      <c r="E29" s="2">
        <v>1554</v>
      </c>
      <c r="F29">
        <v>4</v>
      </c>
      <c r="G29" t="s">
        <v>19</v>
      </c>
      <c r="H29" t="s">
        <v>22</v>
      </c>
      <c r="I29" s="2">
        <v>132090</v>
      </c>
    </row>
    <row r="30" spans="1:9">
      <c r="A30" s="1">
        <v>45678.424849699397</v>
      </c>
      <c r="B30" t="s">
        <v>13</v>
      </c>
      <c r="C30" t="s">
        <v>18</v>
      </c>
      <c r="D30">
        <v>181</v>
      </c>
      <c r="E30" s="2">
        <v>1668</v>
      </c>
      <c r="F30">
        <v>2</v>
      </c>
      <c r="G30" t="s">
        <v>20</v>
      </c>
      <c r="H30" t="s">
        <v>23</v>
      </c>
      <c r="I30" s="2">
        <v>301908</v>
      </c>
    </row>
    <row r="31" spans="1:9">
      <c r="A31" s="1">
        <v>45679.154308617231</v>
      </c>
      <c r="B31" t="s">
        <v>10</v>
      </c>
      <c r="C31" t="s">
        <v>17</v>
      </c>
      <c r="D31">
        <v>55</v>
      </c>
      <c r="E31" s="2">
        <v>1542</v>
      </c>
      <c r="F31">
        <v>3</v>
      </c>
      <c r="G31" t="s">
        <v>19</v>
      </c>
      <c r="H31" t="s">
        <v>23</v>
      </c>
      <c r="I31" s="2">
        <v>84810</v>
      </c>
    </row>
    <row r="32" spans="1:9">
      <c r="A32" s="1">
        <v>45679.883767535073</v>
      </c>
      <c r="B32" t="s">
        <v>11</v>
      </c>
      <c r="C32" t="s">
        <v>17</v>
      </c>
      <c r="D32">
        <v>39</v>
      </c>
      <c r="E32" s="2">
        <v>1141</v>
      </c>
      <c r="F32">
        <v>2</v>
      </c>
      <c r="G32" t="s">
        <v>21</v>
      </c>
      <c r="H32" t="s">
        <v>22</v>
      </c>
      <c r="I32" s="2">
        <v>44499</v>
      </c>
    </row>
    <row r="33" spans="1:9">
      <c r="A33" s="1">
        <v>45680.613226452908</v>
      </c>
      <c r="B33" t="s">
        <v>16</v>
      </c>
      <c r="C33" t="s">
        <v>18</v>
      </c>
      <c r="D33">
        <v>126</v>
      </c>
      <c r="E33" s="2">
        <v>1220</v>
      </c>
      <c r="F33">
        <v>4</v>
      </c>
      <c r="G33" t="s">
        <v>20</v>
      </c>
      <c r="H33" t="s">
        <v>23</v>
      </c>
      <c r="I33" s="2">
        <v>153720</v>
      </c>
    </row>
    <row r="34" spans="1:9">
      <c r="A34" s="1">
        <v>45681.342685370742</v>
      </c>
      <c r="B34" t="s">
        <v>10</v>
      </c>
      <c r="C34" t="s">
        <v>17</v>
      </c>
      <c r="D34">
        <v>95</v>
      </c>
      <c r="E34" s="2">
        <v>1643</v>
      </c>
      <c r="F34">
        <v>2</v>
      </c>
      <c r="G34" t="s">
        <v>21</v>
      </c>
      <c r="H34" t="s">
        <v>22</v>
      </c>
      <c r="I34" s="2">
        <v>156085</v>
      </c>
    </row>
    <row r="35" spans="1:9">
      <c r="A35" s="1">
        <v>45682.072144288577</v>
      </c>
      <c r="B35" t="s">
        <v>14</v>
      </c>
      <c r="C35" t="s">
        <v>18</v>
      </c>
      <c r="D35">
        <v>56</v>
      </c>
      <c r="E35" s="2">
        <v>878</v>
      </c>
      <c r="F35">
        <v>3</v>
      </c>
      <c r="G35" t="s">
        <v>21</v>
      </c>
      <c r="H35" t="s">
        <v>22</v>
      </c>
      <c r="I35" s="2">
        <v>49168</v>
      </c>
    </row>
    <row r="36" spans="1:9">
      <c r="A36" s="1">
        <v>45682.801603206412</v>
      </c>
      <c r="B36" t="s">
        <v>15</v>
      </c>
      <c r="C36" t="s">
        <v>17</v>
      </c>
      <c r="D36">
        <v>183</v>
      </c>
      <c r="E36" s="2">
        <v>998</v>
      </c>
      <c r="F36">
        <v>3</v>
      </c>
      <c r="G36" t="s">
        <v>21</v>
      </c>
      <c r="H36" t="s">
        <v>23</v>
      </c>
      <c r="I36" s="2">
        <v>182634</v>
      </c>
    </row>
    <row r="37" spans="1:9">
      <c r="A37" s="1">
        <v>45683.531062124253</v>
      </c>
      <c r="B37" t="s">
        <v>11</v>
      </c>
      <c r="C37" t="s">
        <v>18</v>
      </c>
      <c r="D37">
        <v>104</v>
      </c>
      <c r="E37" s="2">
        <v>1628</v>
      </c>
      <c r="F37">
        <v>3</v>
      </c>
      <c r="G37" t="s">
        <v>19</v>
      </c>
      <c r="H37" t="s">
        <v>22</v>
      </c>
      <c r="I37" s="2">
        <v>169312</v>
      </c>
    </row>
    <row r="38" spans="1:9">
      <c r="A38" s="1">
        <v>45684.260521042081</v>
      </c>
      <c r="B38" t="s">
        <v>10</v>
      </c>
      <c r="C38" t="s">
        <v>17</v>
      </c>
      <c r="D38">
        <v>35</v>
      </c>
      <c r="E38" s="2">
        <v>1145</v>
      </c>
      <c r="F38">
        <v>1</v>
      </c>
      <c r="G38" t="s">
        <v>21</v>
      </c>
      <c r="H38" t="s">
        <v>22</v>
      </c>
      <c r="I38" s="2">
        <v>40075</v>
      </c>
    </row>
    <row r="39" spans="1:9">
      <c r="A39" s="1">
        <v>45684.989979959922</v>
      </c>
      <c r="B39" t="s">
        <v>16</v>
      </c>
      <c r="C39" t="s">
        <v>17</v>
      </c>
      <c r="D39">
        <v>167</v>
      </c>
      <c r="E39" s="2">
        <v>860</v>
      </c>
      <c r="F39">
        <v>2</v>
      </c>
      <c r="G39" t="s">
        <v>21</v>
      </c>
      <c r="H39" t="s">
        <v>23</v>
      </c>
      <c r="I39" s="2">
        <v>143620</v>
      </c>
    </row>
    <row r="40" spans="1:9">
      <c r="A40" s="1">
        <v>45685.719438877757</v>
      </c>
      <c r="B40" t="s">
        <v>16</v>
      </c>
      <c r="C40" t="s">
        <v>18</v>
      </c>
      <c r="D40">
        <v>46</v>
      </c>
      <c r="E40" s="2">
        <v>1361</v>
      </c>
      <c r="F40">
        <v>4</v>
      </c>
      <c r="G40" t="s">
        <v>21</v>
      </c>
      <c r="H40" t="s">
        <v>22</v>
      </c>
      <c r="I40" s="2">
        <v>62606</v>
      </c>
    </row>
    <row r="41" spans="1:9">
      <c r="A41" s="1">
        <v>45686.448897795592</v>
      </c>
      <c r="B41" t="s">
        <v>12</v>
      </c>
      <c r="C41" t="s">
        <v>17</v>
      </c>
      <c r="D41">
        <v>124</v>
      </c>
      <c r="E41" s="2">
        <v>1525</v>
      </c>
      <c r="F41">
        <v>4</v>
      </c>
      <c r="G41" t="s">
        <v>20</v>
      </c>
      <c r="H41" t="s">
        <v>23</v>
      </c>
      <c r="I41" s="2">
        <v>189100</v>
      </c>
    </row>
    <row r="42" spans="1:9">
      <c r="A42" s="1">
        <v>45687.178356713433</v>
      </c>
      <c r="B42" t="s">
        <v>12</v>
      </c>
      <c r="C42" t="s">
        <v>17</v>
      </c>
      <c r="D42">
        <v>80</v>
      </c>
      <c r="E42" s="2">
        <v>962</v>
      </c>
      <c r="F42">
        <v>4</v>
      </c>
      <c r="G42" t="s">
        <v>20</v>
      </c>
      <c r="H42" t="s">
        <v>23</v>
      </c>
      <c r="I42" s="2">
        <v>76960</v>
      </c>
    </row>
    <row r="43" spans="1:9">
      <c r="A43" s="1">
        <v>45687.907815631261</v>
      </c>
      <c r="B43" t="s">
        <v>9</v>
      </c>
      <c r="C43" t="s">
        <v>17</v>
      </c>
      <c r="D43">
        <v>68</v>
      </c>
      <c r="E43" s="2">
        <v>1036</v>
      </c>
      <c r="F43">
        <v>1</v>
      </c>
      <c r="G43" t="s">
        <v>19</v>
      </c>
      <c r="H43" t="s">
        <v>23</v>
      </c>
      <c r="I43" s="2">
        <v>70448</v>
      </c>
    </row>
    <row r="44" spans="1:9">
      <c r="A44" s="1">
        <v>45688.637274549103</v>
      </c>
      <c r="B44" t="s">
        <v>14</v>
      </c>
      <c r="C44" t="s">
        <v>17</v>
      </c>
      <c r="D44">
        <v>112</v>
      </c>
      <c r="E44" s="2">
        <v>1656</v>
      </c>
      <c r="F44">
        <v>1</v>
      </c>
      <c r="G44" t="s">
        <v>19</v>
      </c>
      <c r="H44" t="s">
        <v>23</v>
      </c>
      <c r="I44" s="2">
        <v>185472</v>
      </c>
    </row>
    <row r="45" spans="1:9">
      <c r="A45" s="1">
        <v>45689.36673346693</v>
      </c>
      <c r="B45" t="s">
        <v>13</v>
      </c>
      <c r="C45" t="s">
        <v>18</v>
      </c>
      <c r="D45">
        <v>79</v>
      </c>
      <c r="E45" s="2">
        <v>1593</v>
      </c>
      <c r="F45">
        <v>3</v>
      </c>
      <c r="G45" t="s">
        <v>20</v>
      </c>
      <c r="H45" t="s">
        <v>22</v>
      </c>
      <c r="I45" s="2">
        <v>125847</v>
      </c>
    </row>
    <row r="46" spans="1:9">
      <c r="A46" s="1">
        <v>45690.096192384772</v>
      </c>
      <c r="B46" t="s">
        <v>10</v>
      </c>
      <c r="C46" t="s">
        <v>18</v>
      </c>
      <c r="D46">
        <v>189</v>
      </c>
      <c r="E46" s="2">
        <v>1076</v>
      </c>
      <c r="F46">
        <v>4</v>
      </c>
      <c r="G46" t="s">
        <v>19</v>
      </c>
      <c r="H46" t="s">
        <v>23</v>
      </c>
      <c r="I46" s="2">
        <v>203364</v>
      </c>
    </row>
    <row r="47" spans="1:9">
      <c r="A47" s="1">
        <v>45690.825651302614</v>
      </c>
      <c r="B47" t="s">
        <v>10</v>
      </c>
      <c r="C47" t="s">
        <v>17</v>
      </c>
      <c r="D47">
        <v>107</v>
      </c>
      <c r="E47" s="2">
        <v>1159</v>
      </c>
      <c r="F47">
        <v>1</v>
      </c>
      <c r="G47" t="s">
        <v>20</v>
      </c>
      <c r="H47" t="s">
        <v>23</v>
      </c>
      <c r="I47" s="2">
        <v>124013</v>
      </c>
    </row>
    <row r="48" spans="1:9">
      <c r="A48" s="1">
        <v>45691.555110220441</v>
      </c>
      <c r="B48" t="s">
        <v>13</v>
      </c>
      <c r="C48" t="s">
        <v>17</v>
      </c>
      <c r="D48">
        <v>60</v>
      </c>
      <c r="E48" s="2">
        <v>947</v>
      </c>
      <c r="F48">
        <v>3</v>
      </c>
      <c r="G48" t="s">
        <v>21</v>
      </c>
      <c r="H48" t="s">
        <v>22</v>
      </c>
      <c r="I48" s="2">
        <v>56820</v>
      </c>
    </row>
    <row r="49" spans="1:9">
      <c r="A49" s="1">
        <v>45692.284569138283</v>
      </c>
      <c r="B49" t="s">
        <v>9</v>
      </c>
      <c r="C49" t="s">
        <v>17</v>
      </c>
      <c r="D49">
        <v>81</v>
      </c>
      <c r="E49" s="2">
        <v>904</v>
      </c>
      <c r="F49">
        <v>4</v>
      </c>
      <c r="G49" t="s">
        <v>21</v>
      </c>
      <c r="H49" t="s">
        <v>23</v>
      </c>
      <c r="I49" s="2">
        <v>73224</v>
      </c>
    </row>
    <row r="50" spans="1:9">
      <c r="A50" s="1">
        <v>45693.01402805611</v>
      </c>
      <c r="B50" t="s">
        <v>15</v>
      </c>
      <c r="C50" t="s">
        <v>18</v>
      </c>
      <c r="D50">
        <v>155</v>
      </c>
      <c r="E50" s="2">
        <v>1472</v>
      </c>
      <c r="F50">
        <v>2</v>
      </c>
      <c r="G50" t="s">
        <v>19</v>
      </c>
      <c r="H50" t="s">
        <v>23</v>
      </c>
      <c r="I50" s="2">
        <v>228160</v>
      </c>
    </row>
    <row r="51" spans="1:9">
      <c r="A51" s="1">
        <v>45693.743486973937</v>
      </c>
      <c r="B51" t="s">
        <v>15</v>
      </c>
      <c r="C51" t="s">
        <v>18</v>
      </c>
      <c r="D51">
        <v>90</v>
      </c>
      <c r="E51" s="2">
        <v>1513</v>
      </c>
      <c r="F51">
        <v>3</v>
      </c>
      <c r="G51" t="s">
        <v>20</v>
      </c>
      <c r="H51" t="s">
        <v>22</v>
      </c>
      <c r="I51" s="2">
        <v>136170</v>
      </c>
    </row>
    <row r="52" spans="1:9">
      <c r="A52" s="1">
        <v>45694.472945891779</v>
      </c>
      <c r="B52" t="s">
        <v>9</v>
      </c>
      <c r="C52" t="s">
        <v>17</v>
      </c>
      <c r="D52">
        <v>128</v>
      </c>
      <c r="E52" s="2">
        <v>1607</v>
      </c>
      <c r="F52">
        <v>1</v>
      </c>
      <c r="G52" t="s">
        <v>20</v>
      </c>
      <c r="H52" t="s">
        <v>22</v>
      </c>
      <c r="I52" s="2">
        <v>205696</v>
      </c>
    </row>
    <row r="53" spans="1:9">
      <c r="A53" s="1">
        <v>45695.202404809621</v>
      </c>
      <c r="B53" t="s">
        <v>15</v>
      </c>
      <c r="C53" t="s">
        <v>17</v>
      </c>
      <c r="D53">
        <v>141</v>
      </c>
      <c r="E53" s="2">
        <v>1255</v>
      </c>
      <c r="F53">
        <v>1</v>
      </c>
      <c r="G53" t="s">
        <v>19</v>
      </c>
      <c r="H53" t="s">
        <v>22</v>
      </c>
      <c r="I53" s="2">
        <v>176955</v>
      </c>
    </row>
    <row r="54" spans="1:9">
      <c r="A54" s="1">
        <v>45695.931863727463</v>
      </c>
      <c r="B54" t="s">
        <v>12</v>
      </c>
      <c r="C54" t="s">
        <v>18</v>
      </c>
      <c r="D54">
        <v>97</v>
      </c>
      <c r="E54" s="2">
        <v>918</v>
      </c>
      <c r="F54">
        <v>3</v>
      </c>
      <c r="G54" t="s">
        <v>20</v>
      </c>
      <c r="H54" t="s">
        <v>22</v>
      </c>
      <c r="I54" s="2">
        <v>89046</v>
      </c>
    </row>
    <row r="55" spans="1:9">
      <c r="A55" s="1">
        <v>45696.66132264529</v>
      </c>
      <c r="B55" t="s">
        <v>10</v>
      </c>
      <c r="C55" t="s">
        <v>17</v>
      </c>
      <c r="D55">
        <v>82</v>
      </c>
      <c r="E55" s="2">
        <v>1161</v>
      </c>
      <c r="F55">
        <v>3</v>
      </c>
      <c r="G55" t="s">
        <v>21</v>
      </c>
      <c r="H55" t="s">
        <v>22</v>
      </c>
      <c r="I55" s="2">
        <v>95202</v>
      </c>
    </row>
    <row r="56" spans="1:9">
      <c r="A56" s="1">
        <v>45697.390781563117</v>
      </c>
      <c r="B56" t="s">
        <v>9</v>
      </c>
      <c r="C56" t="s">
        <v>17</v>
      </c>
      <c r="D56">
        <v>95</v>
      </c>
      <c r="E56" s="2">
        <v>1138</v>
      </c>
      <c r="F56">
        <v>1</v>
      </c>
      <c r="G56" t="s">
        <v>19</v>
      </c>
      <c r="H56" t="s">
        <v>22</v>
      </c>
      <c r="I56" s="2">
        <v>108110</v>
      </c>
    </row>
    <row r="57" spans="1:9">
      <c r="A57" s="1">
        <v>45698.120240480959</v>
      </c>
      <c r="B57" t="s">
        <v>10</v>
      </c>
      <c r="C57" t="s">
        <v>18</v>
      </c>
      <c r="D57">
        <v>115</v>
      </c>
      <c r="E57" s="2">
        <v>1611</v>
      </c>
      <c r="F57">
        <v>2</v>
      </c>
      <c r="G57" t="s">
        <v>19</v>
      </c>
      <c r="H57" t="s">
        <v>22</v>
      </c>
      <c r="I57" s="2">
        <v>185265</v>
      </c>
    </row>
    <row r="58" spans="1:9">
      <c r="A58" s="1">
        <v>45698.849699398786</v>
      </c>
      <c r="B58" t="s">
        <v>13</v>
      </c>
      <c r="C58" t="s">
        <v>17</v>
      </c>
      <c r="D58">
        <v>60</v>
      </c>
      <c r="E58" s="2">
        <v>1397</v>
      </c>
      <c r="F58">
        <v>4</v>
      </c>
      <c r="G58" t="s">
        <v>20</v>
      </c>
      <c r="H58" t="s">
        <v>23</v>
      </c>
      <c r="I58" s="2">
        <v>83820</v>
      </c>
    </row>
    <row r="59" spans="1:9">
      <c r="A59" s="1">
        <v>45699.579158316628</v>
      </c>
      <c r="B59" t="s">
        <v>16</v>
      </c>
      <c r="C59" t="s">
        <v>18</v>
      </c>
      <c r="D59">
        <v>70</v>
      </c>
      <c r="E59" s="2">
        <v>1600</v>
      </c>
      <c r="F59">
        <v>2</v>
      </c>
      <c r="G59" t="s">
        <v>19</v>
      </c>
      <c r="H59" t="s">
        <v>22</v>
      </c>
      <c r="I59" s="2">
        <v>112000</v>
      </c>
    </row>
    <row r="60" spans="1:9">
      <c r="A60" s="1">
        <v>45700.30861723447</v>
      </c>
      <c r="B60" t="s">
        <v>12</v>
      </c>
      <c r="C60" t="s">
        <v>17</v>
      </c>
      <c r="D60">
        <v>35</v>
      </c>
      <c r="E60" s="2">
        <v>997</v>
      </c>
      <c r="F60">
        <v>3</v>
      </c>
      <c r="G60" t="s">
        <v>20</v>
      </c>
      <c r="H60" t="s">
        <v>22</v>
      </c>
      <c r="I60" s="2">
        <v>34895</v>
      </c>
    </row>
    <row r="61" spans="1:9">
      <c r="A61" s="1">
        <v>45701.038076152297</v>
      </c>
      <c r="B61" t="s">
        <v>11</v>
      </c>
      <c r="C61" t="s">
        <v>18</v>
      </c>
      <c r="D61">
        <v>42</v>
      </c>
      <c r="E61" s="2">
        <v>1316</v>
      </c>
      <c r="F61">
        <v>2</v>
      </c>
      <c r="G61" t="s">
        <v>20</v>
      </c>
      <c r="H61" t="s">
        <v>22</v>
      </c>
      <c r="I61" s="2">
        <v>55272</v>
      </c>
    </row>
    <row r="62" spans="1:9">
      <c r="A62" s="1">
        <v>45701.767535070139</v>
      </c>
      <c r="B62" t="s">
        <v>12</v>
      </c>
      <c r="C62" t="s">
        <v>18</v>
      </c>
      <c r="D62">
        <v>147</v>
      </c>
      <c r="E62" s="2">
        <v>1588</v>
      </c>
      <c r="F62">
        <v>1</v>
      </c>
      <c r="G62" t="s">
        <v>20</v>
      </c>
      <c r="H62" t="s">
        <v>23</v>
      </c>
      <c r="I62" s="2">
        <v>233436</v>
      </c>
    </row>
    <row r="63" spans="1:9">
      <c r="A63" s="1">
        <v>45702.496993987967</v>
      </c>
      <c r="B63" t="s">
        <v>9</v>
      </c>
      <c r="C63" t="s">
        <v>18</v>
      </c>
      <c r="D63">
        <v>133</v>
      </c>
      <c r="E63" s="2">
        <v>1093</v>
      </c>
      <c r="F63">
        <v>3</v>
      </c>
      <c r="G63" t="s">
        <v>20</v>
      </c>
      <c r="H63" t="s">
        <v>23</v>
      </c>
      <c r="I63" s="2">
        <v>145369</v>
      </c>
    </row>
    <row r="64" spans="1:9">
      <c r="A64" s="1">
        <v>45703.226452905808</v>
      </c>
      <c r="B64" t="s">
        <v>11</v>
      </c>
      <c r="C64" t="s">
        <v>18</v>
      </c>
      <c r="D64">
        <v>81</v>
      </c>
      <c r="E64" s="2">
        <v>1340</v>
      </c>
      <c r="F64">
        <v>4</v>
      </c>
      <c r="G64" t="s">
        <v>20</v>
      </c>
      <c r="H64" t="s">
        <v>22</v>
      </c>
      <c r="I64" s="2">
        <v>108540</v>
      </c>
    </row>
    <row r="65" spans="1:9">
      <c r="A65" s="1">
        <v>45703.955911823643</v>
      </c>
      <c r="B65" t="s">
        <v>16</v>
      </c>
      <c r="C65" t="s">
        <v>17</v>
      </c>
      <c r="D65">
        <v>161</v>
      </c>
      <c r="E65" s="2">
        <v>1698</v>
      </c>
      <c r="F65">
        <v>1</v>
      </c>
      <c r="G65" t="s">
        <v>19</v>
      </c>
      <c r="H65" t="s">
        <v>22</v>
      </c>
      <c r="I65" s="2">
        <v>273378</v>
      </c>
    </row>
    <row r="66" spans="1:9">
      <c r="A66" s="1">
        <v>45704.685370741478</v>
      </c>
      <c r="B66" t="s">
        <v>9</v>
      </c>
      <c r="C66" t="s">
        <v>18</v>
      </c>
      <c r="D66">
        <v>90</v>
      </c>
      <c r="E66" s="2">
        <v>1807</v>
      </c>
      <c r="F66">
        <v>1</v>
      </c>
      <c r="G66" t="s">
        <v>21</v>
      </c>
      <c r="H66" t="s">
        <v>22</v>
      </c>
      <c r="I66" s="2">
        <v>162630</v>
      </c>
    </row>
    <row r="67" spans="1:9">
      <c r="A67" s="1">
        <v>45705.414829659319</v>
      </c>
      <c r="B67" t="s">
        <v>14</v>
      </c>
      <c r="C67" t="s">
        <v>18</v>
      </c>
      <c r="D67">
        <v>48</v>
      </c>
      <c r="E67" s="2">
        <v>1356</v>
      </c>
      <c r="F67">
        <v>4</v>
      </c>
      <c r="G67" t="s">
        <v>21</v>
      </c>
      <c r="H67" t="s">
        <v>23</v>
      </c>
      <c r="I67" s="2">
        <v>65088</v>
      </c>
    </row>
    <row r="68" spans="1:9">
      <c r="A68" s="1">
        <v>45706.144288577147</v>
      </c>
      <c r="B68" t="s">
        <v>10</v>
      </c>
      <c r="C68" t="s">
        <v>17</v>
      </c>
      <c r="D68">
        <v>62</v>
      </c>
      <c r="E68" s="2">
        <v>1214</v>
      </c>
      <c r="F68">
        <v>4</v>
      </c>
      <c r="G68" t="s">
        <v>19</v>
      </c>
      <c r="H68" t="s">
        <v>23</v>
      </c>
      <c r="I68" s="2">
        <v>75268</v>
      </c>
    </row>
    <row r="69" spans="1:9">
      <c r="A69" s="1">
        <v>45706.873747494988</v>
      </c>
      <c r="B69" t="s">
        <v>16</v>
      </c>
      <c r="C69" t="s">
        <v>18</v>
      </c>
      <c r="D69">
        <v>112</v>
      </c>
      <c r="E69" s="2">
        <v>1331</v>
      </c>
      <c r="F69">
        <v>2</v>
      </c>
      <c r="G69" t="s">
        <v>19</v>
      </c>
      <c r="H69" t="s">
        <v>22</v>
      </c>
      <c r="I69" s="2">
        <v>149072</v>
      </c>
    </row>
    <row r="70" spans="1:9">
      <c r="A70" s="1">
        <v>45707.603206412823</v>
      </c>
      <c r="B70" t="s">
        <v>10</v>
      </c>
      <c r="C70" t="s">
        <v>17</v>
      </c>
      <c r="D70">
        <v>164</v>
      </c>
      <c r="E70" s="2">
        <v>1050</v>
      </c>
      <c r="F70">
        <v>3</v>
      </c>
      <c r="G70" t="s">
        <v>21</v>
      </c>
      <c r="H70" t="s">
        <v>23</v>
      </c>
      <c r="I70" s="2">
        <v>172200</v>
      </c>
    </row>
    <row r="71" spans="1:9">
      <c r="A71" s="1">
        <v>45708.332665330658</v>
      </c>
      <c r="B71" t="s">
        <v>15</v>
      </c>
      <c r="C71" t="s">
        <v>17</v>
      </c>
      <c r="D71">
        <v>143</v>
      </c>
      <c r="E71" s="2">
        <v>1003</v>
      </c>
      <c r="F71">
        <v>4</v>
      </c>
      <c r="G71" t="s">
        <v>21</v>
      </c>
      <c r="H71" t="s">
        <v>22</v>
      </c>
      <c r="I71" s="2">
        <v>143429</v>
      </c>
    </row>
    <row r="72" spans="1:9">
      <c r="A72" s="1">
        <v>45709.062124248492</v>
      </c>
      <c r="B72" t="s">
        <v>14</v>
      </c>
      <c r="C72" t="s">
        <v>17</v>
      </c>
      <c r="D72">
        <v>188</v>
      </c>
      <c r="E72" s="2">
        <v>1299</v>
      </c>
      <c r="F72">
        <v>4</v>
      </c>
      <c r="G72" t="s">
        <v>21</v>
      </c>
      <c r="H72" t="s">
        <v>23</v>
      </c>
      <c r="I72" s="2">
        <v>244212</v>
      </c>
    </row>
    <row r="73" spans="1:9">
      <c r="A73" s="1">
        <v>45709.791583166327</v>
      </c>
      <c r="B73" t="s">
        <v>14</v>
      </c>
      <c r="C73" t="s">
        <v>17</v>
      </c>
      <c r="D73">
        <v>48</v>
      </c>
      <c r="E73" s="2">
        <v>1350</v>
      </c>
      <c r="F73">
        <v>3</v>
      </c>
      <c r="G73" t="s">
        <v>21</v>
      </c>
      <c r="H73" t="s">
        <v>23</v>
      </c>
      <c r="I73" s="2">
        <v>64800</v>
      </c>
    </row>
    <row r="74" spans="1:9">
      <c r="A74" s="1">
        <v>45710.521042084169</v>
      </c>
      <c r="B74" t="s">
        <v>16</v>
      </c>
      <c r="C74" t="s">
        <v>17</v>
      </c>
      <c r="D74">
        <v>90</v>
      </c>
      <c r="E74" s="2">
        <v>922</v>
      </c>
      <c r="F74">
        <v>4</v>
      </c>
      <c r="G74" t="s">
        <v>21</v>
      </c>
      <c r="H74" t="s">
        <v>22</v>
      </c>
      <c r="I74" s="2">
        <v>82980</v>
      </c>
    </row>
    <row r="75" spans="1:9">
      <c r="A75" s="1">
        <v>45711.250501002003</v>
      </c>
      <c r="B75" t="s">
        <v>14</v>
      </c>
      <c r="C75" t="s">
        <v>17</v>
      </c>
      <c r="D75">
        <v>149</v>
      </c>
      <c r="E75" s="2">
        <v>1562</v>
      </c>
      <c r="F75">
        <v>4</v>
      </c>
      <c r="G75" t="s">
        <v>20</v>
      </c>
      <c r="H75" t="s">
        <v>22</v>
      </c>
      <c r="I75" s="2">
        <v>232738</v>
      </c>
    </row>
    <row r="76" spans="1:9">
      <c r="A76" s="1">
        <v>45711.979959919838</v>
      </c>
      <c r="B76" t="s">
        <v>11</v>
      </c>
      <c r="C76" t="s">
        <v>18</v>
      </c>
      <c r="D76">
        <v>41</v>
      </c>
      <c r="E76" s="2">
        <v>1145</v>
      </c>
      <c r="F76">
        <v>2</v>
      </c>
      <c r="G76" t="s">
        <v>19</v>
      </c>
      <c r="H76" t="s">
        <v>22</v>
      </c>
      <c r="I76" s="2">
        <v>46945</v>
      </c>
    </row>
    <row r="77" spans="1:9">
      <c r="A77" s="1">
        <v>45712.709418837672</v>
      </c>
      <c r="B77" t="s">
        <v>14</v>
      </c>
      <c r="C77" t="s">
        <v>17</v>
      </c>
      <c r="D77">
        <v>37</v>
      </c>
      <c r="E77" s="2">
        <v>866</v>
      </c>
      <c r="F77">
        <v>1</v>
      </c>
      <c r="G77" t="s">
        <v>20</v>
      </c>
      <c r="H77" t="s">
        <v>22</v>
      </c>
      <c r="I77" s="2">
        <v>32042</v>
      </c>
    </row>
    <row r="78" spans="1:9">
      <c r="A78" s="1">
        <v>45713.438877755507</v>
      </c>
      <c r="B78" t="s">
        <v>10</v>
      </c>
      <c r="C78" t="s">
        <v>18</v>
      </c>
      <c r="D78">
        <v>145</v>
      </c>
      <c r="E78" s="2">
        <v>1490</v>
      </c>
      <c r="F78">
        <v>1</v>
      </c>
      <c r="G78" t="s">
        <v>21</v>
      </c>
      <c r="H78" t="s">
        <v>23</v>
      </c>
      <c r="I78" s="2">
        <v>216050</v>
      </c>
    </row>
    <row r="79" spans="1:9">
      <c r="A79" s="1">
        <v>45714.168336673341</v>
      </c>
      <c r="B79" t="s">
        <v>10</v>
      </c>
      <c r="C79" t="s">
        <v>17</v>
      </c>
      <c r="D79">
        <v>185</v>
      </c>
      <c r="E79" s="2">
        <v>1066</v>
      </c>
      <c r="F79">
        <v>1</v>
      </c>
      <c r="G79" t="s">
        <v>21</v>
      </c>
      <c r="H79" t="s">
        <v>23</v>
      </c>
      <c r="I79" s="2">
        <v>197210</v>
      </c>
    </row>
    <row r="80" spans="1:9">
      <c r="A80" s="1">
        <v>45714.897795591183</v>
      </c>
      <c r="B80" t="s">
        <v>9</v>
      </c>
      <c r="C80" t="s">
        <v>17</v>
      </c>
      <c r="D80">
        <v>141</v>
      </c>
      <c r="E80" s="2">
        <v>910</v>
      </c>
      <c r="F80">
        <v>1</v>
      </c>
      <c r="G80" t="s">
        <v>21</v>
      </c>
      <c r="H80" t="s">
        <v>23</v>
      </c>
      <c r="I80" s="2">
        <v>128310</v>
      </c>
    </row>
    <row r="81" spans="1:9">
      <c r="A81" s="1">
        <v>45715.627254509018</v>
      </c>
      <c r="B81" t="s">
        <v>10</v>
      </c>
      <c r="C81" t="s">
        <v>17</v>
      </c>
      <c r="D81">
        <v>52</v>
      </c>
      <c r="E81" s="2">
        <v>1788</v>
      </c>
      <c r="F81">
        <v>4</v>
      </c>
      <c r="G81" t="s">
        <v>20</v>
      </c>
      <c r="H81" t="s">
        <v>22</v>
      </c>
      <c r="I81" s="2">
        <v>92976</v>
      </c>
    </row>
    <row r="82" spans="1:9">
      <c r="A82" s="1">
        <v>45716.356713426852</v>
      </c>
      <c r="B82" t="s">
        <v>9</v>
      </c>
      <c r="C82" t="s">
        <v>17</v>
      </c>
      <c r="D82">
        <v>72</v>
      </c>
      <c r="E82" s="2">
        <v>1465</v>
      </c>
      <c r="F82">
        <v>3</v>
      </c>
      <c r="G82" t="s">
        <v>20</v>
      </c>
      <c r="H82" t="s">
        <v>23</v>
      </c>
      <c r="I82" s="2">
        <v>105480</v>
      </c>
    </row>
    <row r="83" spans="1:9">
      <c r="A83" s="1">
        <v>45717.086172344687</v>
      </c>
      <c r="B83" t="s">
        <v>10</v>
      </c>
      <c r="C83" t="s">
        <v>18</v>
      </c>
      <c r="D83">
        <v>149</v>
      </c>
      <c r="E83" s="2">
        <v>891</v>
      </c>
      <c r="F83">
        <v>3</v>
      </c>
      <c r="G83" t="s">
        <v>21</v>
      </c>
      <c r="H83" t="s">
        <v>22</v>
      </c>
      <c r="I83" s="2">
        <v>132759</v>
      </c>
    </row>
    <row r="84" spans="1:9">
      <c r="A84" s="1">
        <v>45717.815631262521</v>
      </c>
      <c r="B84" t="s">
        <v>11</v>
      </c>
      <c r="C84" t="s">
        <v>18</v>
      </c>
      <c r="D84">
        <v>49</v>
      </c>
      <c r="E84" s="2">
        <v>874</v>
      </c>
      <c r="F84">
        <v>2</v>
      </c>
      <c r="G84" t="s">
        <v>20</v>
      </c>
      <c r="H84" t="s">
        <v>23</v>
      </c>
      <c r="I84" s="2">
        <v>42826</v>
      </c>
    </row>
    <row r="85" spans="1:9">
      <c r="A85" s="1">
        <v>45718.545090180363</v>
      </c>
      <c r="B85" t="s">
        <v>13</v>
      </c>
      <c r="C85" t="s">
        <v>18</v>
      </c>
      <c r="D85">
        <v>153</v>
      </c>
      <c r="E85" s="2">
        <v>888</v>
      </c>
      <c r="F85">
        <v>2</v>
      </c>
      <c r="G85" t="s">
        <v>20</v>
      </c>
      <c r="H85" t="s">
        <v>22</v>
      </c>
      <c r="I85" s="2">
        <v>135864</v>
      </c>
    </row>
    <row r="86" spans="1:9">
      <c r="A86" s="1">
        <v>45719.274549098198</v>
      </c>
      <c r="B86" t="s">
        <v>9</v>
      </c>
      <c r="C86" t="s">
        <v>17</v>
      </c>
      <c r="D86">
        <v>62</v>
      </c>
      <c r="E86" s="2">
        <v>1652</v>
      </c>
      <c r="F86">
        <v>4</v>
      </c>
      <c r="G86" t="s">
        <v>21</v>
      </c>
      <c r="H86" t="s">
        <v>22</v>
      </c>
      <c r="I86" s="2">
        <v>102424</v>
      </c>
    </row>
    <row r="87" spans="1:9">
      <c r="A87" s="1">
        <v>45720.004008016032</v>
      </c>
      <c r="B87" t="s">
        <v>12</v>
      </c>
      <c r="C87" t="s">
        <v>17</v>
      </c>
      <c r="D87">
        <v>73</v>
      </c>
      <c r="E87" s="2">
        <v>980</v>
      </c>
      <c r="F87">
        <v>3</v>
      </c>
      <c r="G87" t="s">
        <v>20</v>
      </c>
      <c r="H87" t="s">
        <v>23</v>
      </c>
      <c r="I87" s="2">
        <v>71540</v>
      </c>
    </row>
    <row r="88" spans="1:9">
      <c r="A88" s="1">
        <v>45720.733466933867</v>
      </c>
      <c r="B88" t="s">
        <v>15</v>
      </c>
      <c r="C88" t="s">
        <v>17</v>
      </c>
      <c r="D88">
        <v>51</v>
      </c>
      <c r="E88" s="2">
        <v>1347</v>
      </c>
      <c r="F88">
        <v>3</v>
      </c>
      <c r="G88" t="s">
        <v>19</v>
      </c>
      <c r="H88" t="s">
        <v>22</v>
      </c>
      <c r="I88" s="2">
        <v>68697</v>
      </c>
    </row>
    <row r="89" spans="1:9">
      <c r="A89" s="1">
        <v>45721.462925851702</v>
      </c>
      <c r="B89" t="s">
        <v>16</v>
      </c>
      <c r="C89" t="s">
        <v>17</v>
      </c>
      <c r="D89">
        <v>120</v>
      </c>
      <c r="E89" s="2">
        <v>1078</v>
      </c>
      <c r="F89">
        <v>1</v>
      </c>
      <c r="G89" t="s">
        <v>19</v>
      </c>
      <c r="H89" t="s">
        <v>22</v>
      </c>
      <c r="I89" s="2">
        <v>129360</v>
      </c>
    </row>
    <row r="90" spans="1:9">
      <c r="A90" s="1">
        <v>45722.192384769543</v>
      </c>
      <c r="B90" t="s">
        <v>10</v>
      </c>
      <c r="C90" t="s">
        <v>18</v>
      </c>
      <c r="D90">
        <v>160</v>
      </c>
      <c r="E90" s="2">
        <v>957</v>
      </c>
      <c r="F90">
        <v>4</v>
      </c>
      <c r="G90" t="s">
        <v>19</v>
      </c>
      <c r="H90" t="s">
        <v>23</v>
      </c>
      <c r="I90" s="2">
        <v>153120</v>
      </c>
    </row>
    <row r="91" spans="1:9">
      <c r="A91" s="1">
        <v>45722.921843687371</v>
      </c>
      <c r="B91" t="s">
        <v>14</v>
      </c>
      <c r="C91" t="s">
        <v>17</v>
      </c>
      <c r="D91">
        <v>78</v>
      </c>
      <c r="E91" s="2">
        <v>1021</v>
      </c>
      <c r="F91">
        <v>4</v>
      </c>
      <c r="G91" t="s">
        <v>19</v>
      </c>
      <c r="H91" t="s">
        <v>22</v>
      </c>
      <c r="I91" s="2">
        <v>79638</v>
      </c>
    </row>
    <row r="92" spans="1:9">
      <c r="A92" s="1">
        <v>45723.651302605213</v>
      </c>
      <c r="B92" t="s">
        <v>13</v>
      </c>
      <c r="C92" t="s">
        <v>18</v>
      </c>
      <c r="D92">
        <v>59</v>
      </c>
      <c r="E92" s="2">
        <v>1284</v>
      </c>
      <c r="F92">
        <v>1</v>
      </c>
      <c r="G92" t="s">
        <v>21</v>
      </c>
      <c r="H92" t="s">
        <v>22</v>
      </c>
      <c r="I92" s="2">
        <v>75756</v>
      </c>
    </row>
    <row r="93" spans="1:9">
      <c r="A93" s="1">
        <v>45724.380761523047</v>
      </c>
      <c r="B93" t="s">
        <v>10</v>
      </c>
      <c r="C93" t="s">
        <v>17</v>
      </c>
      <c r="D93">
        <v>179</v>
      </c>
      <c r="E93" s="2">
        <v>1327</v>
      </c>
      <c r="F93">
        <v>4</v>
      </c>
      <c r="G93" t="s">
        <v>21</v>
      </c>
      <c r="H93" t="s">
        <v>22</v>
      </c>
      <c r="I93" s="2">
        <v>237533</v>
      </c>
    </row>
    <row r="94" spans="1:9">
      <c r="A94" s="1">
        <v>45725.110220440882</v>
      </c>
      <c r="B94" t="s">
        <v>14</v>
      </c>
      <c r="C94" t="s">
        <v>18</v>
      </c>
      <c r="D94">
        <v>47</v>
      </c>
      <c r="E94" s="2">
        <v>951</v>
      </c>
      <c r="F94">
        <v>4</v>
      </c>
      <c r="G94" t="s">
        <v>21</v>
      </c>
      <c r="H94" t="s">
        <v>23</v>
      </c>
      <c r="I94" s="2">
        <v>44697</v>
      </c>
    </row>
    <row r="95" spans="1:9">
      <c r="A95" s="1">
        <v>45725.839679358724</v>
      </c>
      <c r="B95" t="s">
        <v>15</v>
      </c>
      <c r="C95" t="s">
        <v>17</v>
      </c>
      <c r="D95">
        <v>59</v>
      </c>
      <c r="E95" s="2">
        <v>1715</v>
      </c>
      <c r="F95">
        <v>2</v>
      </c>
      <c r="G95" t="s">
        <v>19</v>
      </c>
      <c r="H95" t="s">
        <v>23</v>
      </c>
      <c r="I95" s="2">
        <v>101185</v>
      </c>
    </row>
    <row r="96" spans="1:9">
      <c r="A96" s="1">
        <v>45726.569138276551</v>
      </c>
      <c r="B96" t="s">
        <v>15</v>
      </c>
      <c r="C96" t="s">
        <v>18</v>
      </c>
      <c r="D96">
        <v>102</v>
      </c>
      <c r="E96" s="2">
        <v>1373</v>
      </c>
      <c r="F96">
        <v>3</v>
      </c>
      <c r="G96" t="s">
        <v>19</v>
      </c>
      <c r="H96" t="s">
        <v>22</v>
      </c>
      <c r="I96" s="2">
        <v>140046</v>
      </c>
    </row>
    <row r="97" spans="1:9">
      <c r="A97" s="1">
        <v>45727.298597194393</v>
      </c>
      <c r="B97" t="s">
        <v>15</v>
      </c>
      <c r="C97" t="s">
        <v>17</v>
      </c>
      <c r="D97">
        <v>172</v>
      </c>
      <c r="E97" s="2">
        <v>1124</v>
      </c>
      <c r="F97">
        <v>4</v>
      </c>
      <c r="G97" t="s">
        <v>20</v>
      </c>
      <c r="H97" t="s">
        <v>23</v>
      </c>
      <c r="I97" s="2">
        <v>193328</v>
      </c>
    </row>
    <row r="98" spans="1:9">
      <c r="A98" s="1">
        <v>45728.02805611222</v>
      </c>
      <c r="B98" t="s">
        <v>14</v>
      </c>
      <c r="C98" t="s">
        <v>17</v>
      </c>
      <c r="D98">
        <v>101</v>
      </c>
      <c r="E98" s="2">
        <v>1462</v>
      </c>
      <c r="F98">
        <v>2</v>
      </c>
      <c r="G98" t="s">
        <v>20</v>
      </c>
      <c r="H98" t="s">
        <v>22</v>
      </c>
      <c r="I98" s="2">
        <v>147662</v>
      </c>
    </row>
    <row r="99" spans="1:9">
      <c r="A99" s="1">
        <v>45728.757515030047</v>
      </c>
      <c r="B99" t="s">
        <v>10</v>
      </c>
      <c r="C99" t="s">
        <v>17</v>
      </c>
      <c r="D99">
        <v>143</v>
      </c>
      <c r="E99" s="2">
        <v>893</v>
      </c>
      <c r="F99">
        <v>3</v>
      </c>
      <c r="G99" t="s">
        <v>19</v>
      </c>
      <c r="H99" t="s">
        <v>22</v>
      </c>
      <c r="I99" s="2">
        <v>127699</v>
      </c>
    </row>
    <row r="100" spans="1:9">
      <c r="A100" s="1">
        <v>45729.486973947904</v>
      </c>
      <c r="B100" t="s">
        <v>15</v>
      </c>
      <c r="C100" t="s">
        <v>17</v>
      </c>
      <c r="D100">
        <v>180</v>
      </c>
      <c r="E100" s="2">
        <v>1804</v>
      </c>
      <c r="F100">
        <v>1</v>
      </c>
      <c r="G100" t="s">
        <v>19</v>
      </c>
      <c r="H100" t="s">
        <v>22</v>
      </c>
      <c r="I100" s="2">
        <v>324720</v>
      </c>
    </row>
    <row r="101" spans="1:9">
      <c r="A101" s="1">
        <v>45730.216432865731</v>
      </c>
      <c r="B101" t="s">
        <v>11</v>
      </c>
      <c r="C101" t="s">
        <v>17</v>
      </c>
      <c r="D101">
        <v>145</v>
      </c>
      <c r="E101" s="2">
        <v>1666</v>
      </c>
      <c r="F101">
        <v>2</v>
      </c>
      <c r="G101" t="s">
        <v>19</v>
      </c>
      <c r="H101" t="s">
        <v>22</v>
      </c>
      <c r="I101" s="2">
        <v>241570</v>
      </c>
    </row>
    <row r="102" spans="1:9">
      <c r="A102" s="1">
        <v>45730.945891783573</v>
      </c>
      <c r="B102" t="s">
        <v>9</v>
      </c>
      <c r="C102" t="s">
        <v>18</v>
      </c>
      <c r="D102">
        <v>145</v>
      </c>
      <c r="E102" s="2">
        <v>1806</v>
      </c>
      <c r="F102">
        <v>2</v>
      </c>
      <c r="G102" t="s">
        <v>19</v>
      </c>
      <c r="H102" t="s">
        <v>22</v>
      </c>
      <c r="I102" s="2">
        <v>261870</v>
      </c>
    </row>
    <row r="103" spans="1:9">
      <c r="A103" s="1">
        <v>45731.6753507014</v>
      </c>
      <c r="B103" t="s">
        <v>14</v>
      </c>
      <c r="C103" t="s">
        <v>18</v>
      </c>
      <c r="D103">
        <v>68</v>
      </c>
      <c r="E103" s="2">
        <v>866</v>
      </c>
      <c r="F103">
        <v>3</v>
      </c>
      <c r="G103" t="s">
        <v>20</v>
      </c>
      <c r="H103" t="s">
        <v>23</v>
      </c>
      <c r="I103" s="2">
        <v>58888</v>
      </c>
    </row>
    <row r="104" spans="1:9">
      <c r="A104" s="1">
        <v>45732.404809619227</v>
      </c>
      <c r="B104" t="s">
        <v>14</v>
      </c>
      <c r="C104" t="s">
        <v>17</v>
      </c>
      <c r="D104">
        <v>145</v>
      </c>
      <c r="E104" s="2">
        <v>1179</v>
      </c>
      <c r="F104">
        <v>1</v>
      </c>
      <c r="G104" t="s">
        <v>19</v>
      </c>
      <c r="H104" t="s">
        <v>22</v>
      </c>
      <c r="I104" s="2">
        <v>170955</v>
      </c>
    </row>
    <row r="105" spans="1:9">
      <c r="A105" s="1">
        <v>45733.134268537069</v>
      </c>
      <c r="B105" t="s">
        <v>10</v>
      </c>
      <c r="C105" t="s">
        <v>17</v>
      </c>
      <c r="D105">
        <v>42</v>
      </c>
      <c r="E105" s="2">
        <v>1418</v>
      </c>
      <c r="F105">
        <v>2</v>
      </c>
      <c r="G105" t="s">
        <v>20</v>
      </c>
      <c r="H105" t="s">
        <v>23</v>
      </c>
      <c r="I105" s="2">
        <v>59556</v>
      </c>
    </row>
    <row r="106" spans="1:9">
      <c r="A106" s="1">
        <v>45733.863727454911</v>
      </c>
      <c r="B106" t="s">
        <v>14</v>
      </c>
      <c r="C106" t="s">
        <v>18</v>
      </c>
      <c r="D106">
        <v>147</v>
      </c>
      <c r="E106" s="2">
        <v>1672</v>
      </c>
      <c r="F106">
        <v>4</v>
      </c>
      <c r="G106" t="s">
        <v>19</v>
      </c>
      <c r="H106" t="s">
        <v>23</v>
      </c>
      <c r="I106" s="2">
        <v>245784</v>
      </c>
    </row>
    <row r="107" spans="1:9">
      <c r="A107" s="1">
        <v>45734.593186372753</v>
      </c>
      <c r="B107" t="s">
        <v>14</v>
      </c>
      <c r="C107" t="s">
        <v>18</v>
      </c>
      <c r="D107">
        <v>117</v>
      </c>
      <c r="E107" s="2">
        <v>1346</v>
      </c>
      <c r="F107">
        <v>4</v>
      </c>
      <c r="G107" t="s">
        <v>19</v>
      </c>
      <c r="H107" t="s">
        <v>22</v>
      </c>
      <c r="I107" s="2">
        <v>157482</v>
      </c>
    </row>
    <row r="108" spans="1:9">
      <c r="A108" s="1">
        <v>45735.32264529058</v>
      </c>
      <c r="B108" t="s">
        <v>15</v>
      </c>
      <c r="C108" t="s">
        <v>18</v>
      </c>
      <c r="D108">
        <v>76</v>
      </c>
      <c r="E108" s="2">
        <v>1664</v>
      </c>
      <c r="F108">
        <v>4</v>
      </c>
      <c r="G108" t="s">
        <v>19</v>
      </c>
      <c r="H108" t="s">
        <v>22</v>
      </c>
      <c r="I108" s="2">
        <v>126464</v>
      </c>
    </row>
    <row r="109" spans="1:9">
      <c r="A109" s="1">
        <v>45736.052104208407</v>
      </c>
      <c r="B109" t="s">
        <v>10</v>
      </c>
      <c r="C109" t="s">
        <v>17</v>
      </c>
      <c r="D109">
        <v>135</v>
      </c>
      <c r="E109" s="2">
        <v>861</v>
      </c>
      <c r="F109">
        <v>1</v>
      </c>
      <c r="G109" t="s">
        <v>20</v>
      </c>
      <c r="H109" t="s">
        <v>23</v>
      </c>
      <c r="I109" s="2">
        <v>116235</v>
      </c>
    </row>
    <row r="110" spans="1:9">
      <c r="A110" s="1">
        <v>45736.781563126249</v>
      </c>
      <c r="B110" t="s">
        <v>15</v>
      </c>
      <c r="C110" t="s">
        <v>17</v>
      </c>
      <c r="D110">
        <v>40</v>
      </c>
      <c r="E110" s="2">
        <v>1167</v>
      </c>
      <c r="F110">
        <v>2</v>
      </c>
      <c r="G110" t="s">
        <v>20</v>
      </c>
      <c r="H110" t="s">
        <v>23</v>
      </c>
      <c r="I110" s="2">
        <v>46680</v>
      </c>
    </row>
    <row r="111" spans="1:9">
      <c r="A111" s="1">
        <v>45737.511022044077</v>
      </c>
      <c r="B111" t="s">
        <v>9</v>
      </c>
      <c r="C111" t="s">
        <v>17</v>
      </c>
      <c r="D111">
        <v>60</v>
      </c>
      <c r="E111" s="2">
        <v>1441</v>
      </c>
      <c r="F111">
        <v>4</v>
      </c>
      <c r="G111" t="s">
        <v>21</v>
      </c>
      <c r="H111" t="s">
        <v>23</v>
      </c>
      <c r="I111" s="2">
        <v>86460</v>
      </c>
    </row>
    <row r="112" spans="1:9">
      <c r="A112" s="1">
        <v>45738.240480961918</v>
      </c>
      <c r="B112" t="s">
        <v>13</v>
      </c>
      <c r="C112" t="s">
        <v>17</v>
      </c>
      <c r="D112">
        <v>98</v>
      </c>
      <c r="E112" s="2">
        <v>1065</v>
      </c>
      <c r="F112">
        <v>1</v>
      </c>
      <c r="G112" t="s">
        <v>19</v>
      </c>
      <c r="H112" t="s">
        <v>22</v>
      </c>
      <c r="I112" s="2">
        <v>104370</v>
      </c>
    </row>
    <row r="113" spans="1:9">
      <c r="A113" s="1">
        <v>45738.96993987976</v>
      </c>
      <c r="B113" t="s">
        <v>9</v>
      </c>
      <c r="C113" t="s">
        <v>17</v>
      </c>
      <c r="D113">
        <v>93</v>
      </c>
      <c r="E113" s="2">
        <v>1188</v>
      </c>
      <c r="F113">
        <v>4</v>
      </c>
      <c r="G113" t="s">
        <v>21</v>
      </c>
      <c r="H113" t="s">
        <v>23</v>
      </c>
      <c r="I113" s="2">
        <v>110484</v>
      </c>
    </row>
    <row r="114" spans="1:9">
      <c r="A114" s="1">
        <v>45739.699398797587</v>
      </c>
      <c r="B114" t="s">
        <v>13</v>
      </c>
      <c r="C114" t="s">
        <v>17</v>
      </c>
      <c r="D114">
        <v>143</v>
      </c>
      <c r="E114" s="2">
        <v>1625</v>
      </c>
      <c r="F114">
        <v>3</v>
      </c>
      <c r="G114" t="s">
        <v>21</v>
      </c>
      <c r="H114" t="s">
        <v>22</v>
      </c>
      <c r="I114" s="2">
        <v>232375</v>
      </c>
    </row>
    <row r="115" spans="1:9">
      <c r="A115" s="1">
        <v>45740.428857715429</v>
      </c>
      <c r="B115" t="s">
        <v>15</v>
      </c>
      <c r="C115" t="s">
        <v>17</v>
      </c>
      <c r="D115">
        <v>155</v>
      </c>
      <c r="E115" s="2">
        <v>1840</v>
      </c>
      <c r="F115">
        <v>2</v>
      </c>
      <c r="G115" t="s">
        <v>20</v>
      </c>
      <c r="H115" t="s">
        <v>22</v>
      </c>
      <c r="I115" s="2">
        <v>285200</v>
      </c>
    </row>
    <row r="116" spans="1:9">
      <c r="A116" s="1">
        <v>45741.158316633257</v>
      </c>
      <c r="B116" t="s">
        <v>9</v>
      </c>
      <c r="C116" t="s">
        <v>17</v>
      </c>
      <c r="D116">
        <v>67</v>
      </c>
      <c r="E116" s="2">
        <v>1510</v>
      </c>
      <c r="F116">
        <v>2</v>
      </c>
      <c r="G116" t="s">
        <v>20</v>
      </c>
      <c r="H116" t="s">
        <v>22</v>
      </c>
      <c r="I116" s="2">
        <v>101170</v>
      </c>
    </row>
    <row r="117" spans="1:9">
      <c r="A117" s="1">
        <v>45741.887775551098</v>
      </c>
      <c r="B117" t="s">
        <v>10</v>
      </c>
      <c r="C117" t="s">
        <v>18</v>
      </c>
      <c r="D117">
        <v>184</v>
      </c>
      <c r="E117" s="2">
        <v>930</v>
      </c>
      <c r="F117">
        <v>1</v>
      </c>
      <c r="G117" t="s">
        <v>21</v>
      </c>
      <c r="H117" t="s">
        <v>23</v>
      </c>
      <c r="I117" s="2">
        <v>171120</v>
      </c>
    </row>
    <row r="118" spans="1:9">
      <c r="A118" s="1">
        <v>45742.617234468933</v>
      </c>
      <c r="B118" t="s">
        <v>16</v>
      </c>
      <c r="C118" t="s">
        <v>17</v>
      </c>
      <c r="D118">
        <v>55</v>
      </c>
      <c r="E118" s="2">
        <v>1576</v>
      </c>
      <c r="F118">
        <v>1</v>
      </c>
      <c r="G118" t="s">
        <v>19</v>
      </c>
      <c r="H118" t="s">
        <v>22</v>
      </c>
      <c r="I118" s="2">
        <v>86680</v>
      </c>
    </row>
    <row r="119" spans="1:9">
      <c r="A119" s="1">
        <v>45743.346693386768</v>
      </c>
      <c r="B119" t="s">
        <v>15</v>
      </c>
      <c r="C119" t="s">
        <v>17</v>
      </c>
      <c r="D119">
        <v>104</v>
      </c>
      <c r="E119" s="2">
        <v>1334</v>
      </c>
      <c r="F119">
        <v>2</v>
      </c>
      <c r="G119" t="s">
        <v>20</v>
      </c>
      <c r="H119" t="s">
        <v>22</v>
      </c>
      <c r="I119" s="2">
        <v>138736</v>
      </c>
    </row>
    <row r="120" spans="1:9">
      <c r="A120" s="1">
        <v>45744.076152304609</v>
      </c>
      <c r="B120" t="s">
        <v>13</v>
      </c>
      <c r="C120" t="s">
        <v>17</v>
      </c>
      <c r="D120">
        <v>146</v>
      </c>
      <c r="E120" s="2">
        <v>1223</v>
      </c>
      <c r="F120">
        <v>4</v>
      </c>
      <c r="G120" t="s">
        <v>19</v>
      </c>
      <c r="H120" t="s">
        <v>22</v>
      </c>
      <c r="I120" s="2">
        <v>178558</v>
      </c>
    </row>
    <row r="121" spans="1:9">
      <c r="A121" s="1">
        <v>45744.805611222437</v>
      </c>
      <c r="B121" t="s">
        <v>11</v>
      </c>
      <c r="C121" t="s">
        <v>18</v>
      </c>
      <c r="D121">
        <v>38</v>
      </c>
      <c r="E121" s="2">
        <v>1825</v>
      </c>
      <c r="F121">
        <v>4</v>
      </c>
      <c r="G121" t="s">
        <v>19</v>
      </c>
      <c r="H121" t="s">
        <v>22</v>
      </c>
      <c r="I121" s="2">
        <v>69350</v>
      </c>
    </row>
    <row r="122" spans="1:9">
      <c r="A122" s="1">
        <v>45745.535070140279</v>
      </c>
      <c r="B122" t="s">
        <v>13</v>
      </c>
      <c r="C122" t="s">
        <v>17</v>
      </c>
      <c r="D122">
        <v>128</v>
      </c>
      <c r="E122" s="2">
        <v>1559</v>
      </c>
      <c r="F122">
        <v>3</v>
      </c>
      <c r="G122" t="s">
        <v>21</v>
      </c>
      <c r="H122" t="s">
        <v>22</v>
      </c>
      <c r="I122" s="2">
        <v>199552</v>
      </c>
    </row>
    <row r="123" spans="1:9">
      <c r="A123" s="1">
        <v>45746.264529058113</v>
      </c>
      <c r="B123" t="s">
        <v>11</v>
      </c>
      <c r="C123" t="s">
        <v>17</v>
      </c>
      <c r="D123">
        <v>109</v>
      </c>
      <c r="E123" s="2">
        <v>1049</v>
      </c>
      <c r="F123">
        <v>4</v>
      </c>
      <c r="G123" t="s">
        <v>21</v>
      </c>
      <c r="H123" t="s">
        <v>23</v>
      </c>
      <c r="I123" s="2">
        <v>114341</v>
      </c>
    </row>
    <row r="124" spans="1:9">
      <c r="A124" s="1">
        <v>45746.993987975948</v>
      </c>
      <c r="B124" t="s">
        <v>14</v>
      </c>
      <c r="C124" t="s">
        <v>18</v>
      </c>
      <c r="D124">
        <v>96</v>
      </c>
      <c r="E124" s="2">
        <v>1386</v>
      </c>
      <c r="F124">
        <v>1</v>
      </c>
      <c r="G124" t="s">
        <v>21</v>
      </c>
      <c r="H124" t="s">
        <v>22</v>
      </c>
      <c r="I124" s="2">
        <v>133056</v>
      </c>
    </row>
    <row r="125" spans="1:9">
      <c r="A125" s="1">
        <v>45747.723446893782</v>
      </c>
      <c r="B125" t="s">
        <v>9</v>
      </c>
      <c r="C125" t="s">
        <v>17</v>
      </c>
      <c r="D125">
        <v>128</v>
      </c>
      <c r="E125" s="2">
        <v>1315</v>
      </c>
      <c r="F125">
        <v>1</v>
      </c>
      <c r="G125" t="s">
        <v>21</v>
      </c>
      <c r="H125" t="s">
        <v>22</v>
      </c>
      <c r="I125" s="2">
        <v>168320</v>
      </c>
    </row>
    <row r="126" spans="1:9">
      <c r="A126" s="1">
        <v>45748.452905811617</v>
      </c>
      <c r="B126" t="s">
        <v>11</v>
      </c>
      <c r="C126" t="s">
        <v>17</v>
      </c>
      <c r="D126">
        <v>129</v>
      </c>
      <c r="E126" s="2">
        <v>938</v>
      </c>
      <c r="F126">
        <v>4</v>
      </c>
      <c r="G126" t="s">
        <v>20</v>
      </c>
      <c r="H126" t="s">
        <v>23</v>
      </c>
      <c r="I126" s="2">
        <v>121002</v>
      </c>
    </row>
    <row r="127" spans="1:9">
      <c r="A127" s="1">
        <v>45749.182364729459</v>
      </c>
      <c r="B127" t="s">
        <v>13</v>
      </c>
      <c r="C127" t="s">
        <v>18</v>
      </c>
      <c r="D127">
        <v>186</v>
      </c>
      <c r="E127" s="2">
        <v>1117</v>
      </c>
      <c r="F127">
        <v>1</v>
      </c>
      <c r="G127" t="s">
        <v>20</v>
      </c>
      <c r="H127" t="s">
        <v>22</v>
      </c>
      <c r="I127" s="2">
        <v>207762</v>
      </c>
    </row>
    <row r="128" spans="1:9">
      <c r="A128" s="1">
        <v>45749.911823647293</v>
      </c>
      <c r="B128" t="s">
        <v>14</v>
      </c>
      <c r="C128" t="s">
        <v>17</v>
      </c>
      <c r="D128">
        <v>89</v>
      </c>
      <c r="E128" s="2">
        <v>1504</v>
      </c>
      <c r="F128">
        <v>2</v>
      </c>
      <c r="G128" t="s">
        <v>21</v>
      </c>
      <c r="H128" t="s">
        <v>23</v>
      </c>
      <c r="I128" s="2">
        <v>133856</v>
      </c>
    </row>
    <row r="129" spans="1:9">
      <c r="A129" s="1">
        <v>45750.641282565128</v>
      </c>
      <c r="B129" t="s">
        <v>16</v>
      </c>
      <c r="C129" t="s">
        <v>17</v>
      </c>
      <c r="D129">
        <v>171</v>
      </c>
      <c r="E129" s="2">
        <v>1420</v>
      </c>
      <c r="F129">
        <v>2</v>
      </c>
      <c r="G129" t="s">
        <v>20</v>
      </c>
      <c r="H129" t="s">
        <v>22</v>
      </c>
      <c r="I129" s="2">
        <v>242820</v>
      </c>
    </row>
    <row r="130" spans="1:9">
      <c r="A130" s="1">
        <v>45751.370741482962</v>
      </c>
      <c r="B130" t="s">
        <v>10</v>
      </c>
      <c r="C130" t="s">
        <v>17</v>
      </c>
      <c r="D130">
        <v>165</v>
      </c>
      <c r="E130" s="2">
        <v>1771</v>
      </c>
      <c r="F130">
        <v>4</v>
      </c>
      <c r="G130" t="s">
        <v>21</v>
      </c>
      <c r="H130" t="s">
        <v>23</v>
      </c>
      <c r="I130" s="2">
        <v>292215</v>
      </c>
    </row>
    <row r="131" spans="1:9">
      <c r="A131" s="1">
        <v>45752.100200400797</v>
      </c>
      <c r="B131" t="s">
        <v>10</v>
      </c>
      <c r="C131" t="s">
        <v>18</v>
      </c>
      <c r="D131">
        <v>65</v>
      </c>
      <c r="E131" s="2">
        <v>1338</v>
      </c>
      <c r="F131">
        <v>2</v>
      </c>
      <c r="G131" t="s">
        <v>19</v>
      </c>
      <c r="H131" t="s">
        <v>23</v>
      </c>
      <c r="I131" s="2">
        <v>86970</v>
      </c>
    </row>
    <row r="132" spans="1:9">
      <c r="A132" s="1">
        <v>45752.829659318631</v>
      </c>
      <c r="B132" t="s">
        <v>10</v>
      </c>
      <c r="C132" t="s">
        <v>18</v>
      </c>
      <c r="D132">
        <v>74</v>
      </c>
      <c r="E132" s="2">
        <v>1726</v>
      </c>
      <c r="F132">
        <v>2</v>
      </c>
      <c r="G132" t="s">
        <v>19</v>
      </c>
      <c r="H132" t="s">
        <v>22</v>
      </c>
      <c r="I132" s="2">
        <v>127724</v>
      </c>
    </row>
    <row r="133" spans="1:9">
      <c r="A133" s="1">
        <v>45753.559118236473</v>
      </c>
      <c r="B133" t="s">
        <v>11</v>
      </c>
      <c r="C133" t="s">
        <v>18</v>
      </c>
      <c r="D133">
        <v>70</v>
      </c>
      <c r="E133" s="2">
        <v>1387</v>
      </c>
      <c r="F133">
        <v>3</v>
      </c>
      <c r="G133" t="s">
        <v>19</v>
      </c>
      <c r="H133" t="s">
        <v>22</v>
      </c>
      <c r="I133" s="2">
        <v>97090</v>
      </c>
    </row>
    <row r="134" spans="1:9">
      <c r="A134" s="1">
        <v>45754.288577154308</v>
      </c>
      <c r="B134" t="s">
        <v>16</v>
      </c>
      <c r="C134" t="s">
        <v>17</v>
      </c>
      <c r="D134">
        <v>186</v>
      </c>
      <c r="E134" s="2">
        <v>896</v>
      </c>
      <c r="F134">
        <v>3</v>
      </c>
      <c r="G134" t="s">
        <v>21</v>
      </c>
      <c r="H134" t="s">
        <v>22</v>
      </c>
      <c r="I134" s="2">
        <v>166656</v>
      </c>
    </row>
    <row r="135" spans="1:9">
      <c r="A135" s="1">
        <v>45755.018036072142</v>
      </c>
      <c r="B135" t="s">
        <v>11</v>
      </c>
      <c r="C135" t="s">
        <v>18</v>
      </c>
      <c r="D135">
        <v>40</v>
      </c>
      <c r="E135" s="2">
        <v>1137</v>
      </c>
      <c r="F135">
        <v>2</v>
      </c>
      <c r="G135" t="s">
        <v>19</v>
      </c>
      <c r="H135" t="s">
        <v>23</v>
      </c>
      <c r="I135" s="2">
        <v>45480</v>
      </c>
    </row>
    <row r="136" spans="1:9">
      <c r="A136" s="1">
        <v>45755.747494989977</v>
      </c>
      <c r="B136" t="s">
        <v>9</v>
      </c>
      <c r="C136" t="s">
        <v>18</v>
      </c>
      <c r="D136">
        <v>100</v>
      </c>
      <c r="E136" s="2">
        <v>1627</v>
      </c>
      <c r="F136">
        <v>4</v>
      </c>
      <c r="G136" t="s">
        <v>20</v>
      </c>
      <c r="H136" t="s">
        <v>23</v>
      </c>
      <c r="I136" s="2">
        <v>162700</v>
      </c>
    </row>
    <row r="137" spans="1:9">
      <c r="A137" s="1">
        <v>45756.476953907812</v>
      </c>
      <c r="B137" t="s">
        <v>11</v>
      </c>
      <c r="C137" t="s">
        <v>17</v>
      </c>
      <c r="D137">
        <v>109</v>
      </c>
      <c r="E137" s="2">
        <v>865</v>
      </c>
      <c r="F137">
        <v>3</v>
      </c>
      <c r="G137" t="s">
        <v>19</v>
      </c>
      <c r="H137" t="s">
        <v>23</v>
      </c>
      <c r="I137" s="2">
        <v>94285</v>
      </c>
    </row>
    <row r="138" spans="1:9">
      <c r="A138" s="1">
        <v>45757.206412825653</v>
      </c>
      <c r="B138" t="s">
        <v>16</v>
      </c>
      <c r="C138" t="s">
        <v>17</v>
      </c>
      <c r="D138">
        <v>38</v>
      </c>
      <c r="E138" s="2">
        <v>1560</v>
      </c>
      <c r="F138">
        <v>1</v>
      </c>
      <c r="G138" t="s">
        <v>19</v>
      </c>
      <c r="H138" t="s">
        <v>22</v>
      </c>
      <c r="I138" s="2">
        <v>59280</v>
      </c>
    </row>
    <row r="139" spans="1:9">
      <c r="A139" s="1">
        <v>45757.935871743481</v>
      </c>
      <c r="B139" t="s">
        <v>16</v>
      </c>
      <c r="C139" t="s">
        <v>17</v>
      </c>
      <c r="D139">
        <v>113</v>
      </c>
      <c r="E139" s="2">
        <v>1250</v>
      </c>
      <c r="F139">
        <v>1</v>
      </c>
      <c r="G139" t="s">
        <v>19</v>
      </c>
      <c r="H139" t="s">
        <v>23</v>
      </c>
      <c r="I139" s="2">
        <v>141250</v>
      </c>
    </row>
    <row r="140" spans="1:9">
      <c r="A140" s="1">
        <v>45758.665330661323</v>
      </c>
      <c r="B140" t="s">
        <v>9</v>
      </c>
      <c r="C140" t="s">
        <v>18</v>
      </c>
      <c r="D140">
        <v>168</v>
      </c>
      <c r="E140" s="2">
        <v>1768</v>
      </c>
      <c r="F140">
        <v>1</v>
      </c>
      <c r="G140" t="s">
        <v>20</v>
      </c>
      <c r="H140" t="s">
        <v>23</v>
      </c>
      <c r="I140" s="2">
        <v>297024</v>
      </c>
    </row>
    <row r="141" spans="1:9">
      <c r="A141" s="1">
        <v>45759.394789579157</v>
      </c>
      <c r="B141" t="s">
        <v>16</v>
      </c>
      <c r="C141" t="s">
        <v>18</v>
      </c>
      <c r="D141">
        <v>152</v>
      </c>
      <c r="E141" s="2">
        <v>1643</v>
      </c>
      <c r="F141">
        <v>4</v>
      </c>
      <c r="G141" t="s">
        <v>21</v>
      </c>
      <c r="H141" t="s">
        <v>22</v>
      </c>
      <c r="I141" s="2">
        <v>249736</v>
      </c>
    </row>
    <row r="142" spans="1:9">
      <c r="A142" s="1">
        <v>45760.124248496992</v>
      </c>
      <c r="B142" t="s">
        <v>13</v>
      </c>
      <c r="C142" t="s">
        <v>17</v>
      </c>
      <c r="D142">
        <v>147</v>
      </c>
      <c r="E142" s="2">
        <v>1830</v>
      </c>
      <c r="F142">
        <v>2</v>
      </c>
      <c r="G142" t="s">
        <v>20</v>
      </c>
      <c r="H142" t="s">
        <v>23</v>
      </c>
      <c r="I142" s="2">
        <v>269010</v>
      </c>
    </row>
    <row r="143" spans="1:9">
      <c r="A143" s="1">
        <v>45760.853707414833</v>
      </c>
      <c r="B143" t="s">
        <v>16</v>
      </c>
      <c r="C143" t="s">
        <v>17</v>
      </c>
      <c r="D143">
        <v>128</v>
      </c>
      <c r="E143" s="2">
        <v>935</v>
      </c>
      <c r="F143">
        <v>1</v>
      </c>
      <c r="G143" t="s">
        <v>21</v>
      </c>
      <c r="H143" t="s">
        <v>23</v>
      </c>
      <c r="I143" s="2">
        <v>119680</v>
      </c>
    </row>
    <row r="144" spans="1:9">
      <c r="A144" s="1">
        <v>45761.583166332661</v>
      </c>
      <c r="B144" t="s">
        <v>10</v>
      </c>
      <c r="C144" t="s">
        <v>18</v>
      </c>
      <c r="D144">
        <v>96</v>
      </c>
      <c r="E144" s="2">
        <v>1099</v>
      </c>
      <c r="F144">
        <v>4</v>
      </c>
      <c r="G144" t="s">
        <v>21</v>
      </c>
      <c r="H144" t="s">
        <v>22</v>
      </c>
      <c r="I144" s="2">
        <v>105504</v>
      </c>
    </row>
    <row r="145" spans="1:9">
      <c r="A145" s="1">
        <v>45762.312625250503</v>
      </c>
      <c r="B145" t="s">
        <v>13</v>
      </c>
      <c r="C145" t="s">
        <v>18</v>
      </c>
      <c r="D145">
        <v>113</v>
      </c>
      <c r="E145" s="2">
        <v>1240</v>
      </c>
      <c r="F145">
        <v>3</v>
      </c>
      <c r="G145" t="s">
        <v>19</v>
      </c>
      <c r="H145" t="s">
        <v>23</v>
      </c>
      <c r="I145" s="2">
        <v>140120</v>
      </c>
    </row>
    <row r="146" spans="1:9">
      <c r="A146" s="1">
        <v>45763.04208416833</v>
      </c>
      <c r="B146" t="s">
        <v>13</v>
      </c>
      <c r="C146" t="s">
        <v>18</v>
      </c>
      <c r="D146">
        <v>170</v>
      </c>
      <c r="E146" s="2">
        <v>1631</v>
      </c>
      <c r="F146">
        <v>2</v>
      </c>
      <c r="G146" t="s">
        <v>21</v>
      </c>
      <c r="H146" t="s">
        <v>22</v>
      </c>
      <c r="I146" s="2">
        <v>277270</v>
      </c>
    </row>
    <row r="147" spans="1:9">
      <c r="A147" s="1">
        <v>45763.771543086172</v>
      </c>
      <c r="B147" t="s">
        <v>9</v>
      </c>
      <c r="C147" t="s">
        <v>17</v>
      </c>
      <c r="D147">
        <v>60</v>
      </c>
      <c r="E147" s="2">
        <v>1184</v>
      </c>
      <c r="F147">
        <v>3</v>
      </c>
      <c r="G147" t="s">
        <v>20</v>
      </c>
      <c r="H147" t="s">
        <v>22</v>
      </c>
      <c r="I147" s="2">
        <v>71040</v>
      </c>
    </row>
    <row r="148" spans="1:9">
      <c r="A148" s="1">
        <v>45764.501002004014</v>
      </c>
      <c r="B148" t="s">
        <v>12</v>
      </c>
      <c r="C148" t="s">
        <v>18</v>
      </c>
      <c r="D148">
        <v>78</v>
      </c>
      <c r="E148" s="2">
        <v>1478</v>
      </c>
      <c r="F148">
        <v>4</v>
      </c>
      <c r="G148" t="s">
        <v>20</v>
      </c>
      <c r="H148" t="s">
        <v>22</v>
      </c>
      <c r="I148" s="2">
        <v>115284</v>
      </c>
    </row>
    <row r="149" spans="1:9">
      <c r="A149" s="1">
        <v>45765.230460921841</v>
      </c>
      <c r="B149" t="s">
        <v>12</v>
      </c>
      <c r="C149" t="s">
        <v>17</v>
      </c>
      <c r="D149">
        <v>167</v>
      </c>
      <c r="E149" s="2">
        <v>1368</v>
      </c>
      <c r="F149">
        <v>1</v>
      </c>
      <c r="G149" t="s">
        <v>21</v>
      </c>
      <c r="H149" t="s">
        <v>22</v>
      </c>
      <c r="I149" s="2">
        <v>228456</v>
      </c>
    </row>
    <row r="150" spans="1:9">
      <c r="A150" s="1">
        <v>45765.959919839683</v>
      </c>
      <c r="B150" t="s">
        <v>16</v>
      </c>
      <c r="C150" t="s">
        <v>18</v>
      </c>
      <c r="D150">
        <v>104</v>
      </c>
      <c r="E150" s="2">
        <v>986</v>
      </c>
      <c r="F150">
        <v>1</v>
      </c>
      <c r="G150" t="s">
        <v>19</v>
      </c>
      <c r="H150" t="s">
        <v>22</v>
      </c>
      <c r="I150" s="2">
        <v>102544</v>
      </c>
    </row>
    <row r="151" spans="1:9">
      <c r="A151" s="1">
        <v>45766.68937875751</v>
      </c>
      <c r="B151" t="s">
        <v>13</v>
      </c>
      <c r="C151" t="s">
        <v>18</v>
      </c>
      <c r="D151">
        <v>188</v>
      </c>
      <c r="E151" s="2">
        <v>1732</v>
      </c>
      <c r="F151">
        <v>4</v>
      </c>
      <c r="G151" t="s">
        <v>19</v>
      </c>
      <c r="H151" t="s">
        <v>23</v>
      </c>
      <c r="I151" s="2">
        <v>325616</v>
      </c>
    </row>
    <row r="152" spans="1:9">
      <c r="A152" s="1">
        <v>45767.418837675337</v>
      </c>
      <c r="B152" t="s">
        <v>12</v>
      </c>
      <c r="C152" t="s">
        <v>17</v>
      </c>
      <c r="D152">
        <v>152</v>
      </c>
      <c r="E152" s="2">
        <v>1537</v>
      </c>
      <c r="F152">
        <v>1</v>
      </c>
      <c r="G152" t="s">
        <v>20</v>
      </c>
      <c r="H152" t="s">
        <v>23</v>
      </c>
      <c r="I152" s="2">
        <v>233624</v>
      </c>
    </row>
    <row r="153" spans="1:9">
      <c r="A153" s="1">
        <v>45768.148296593186</v>
      </c>
      <c r="B153" t="s">
        <v>12</v>
      </c>
      <c r="C153" t="s">
        <v>18</v>
      </c>
      <c r="D153">
        <v>102</v>
      </c>
      <c r="E153" s="2">
        <v>1689</v>
      </c>
      <c r="F153">
        <v>2</v>
      </c>
      <c r="G153" t="s">
        <v>19</v>
      </c>
      <c r="H153" t="s">
        <v>22</v>
      </c>
      <c r="I153" s="2">
        <v>172278</v>
      </c>
    </row>
    <row r="154" spans="1:9">
      <c r="A154" s="1">
        <v>45768.877755511021</v>
      </c>
      <c r="B154" t="s">
        <v>16</v>
      </c>
      <c r="C154" t="s">
        <v>17</v>
      </c>
      <c r="D154">
        <v>53</v>
      </c>
      <c r="E154" s="2">
        <v>1347</v>
      </c>
      <c r="F154">
        <v>4</v>
      </c>
      <c r="G154" t="s">
        <v>21</v>
      </c>
      <c r="H154" t="s">
        <v>22</v>
      </c>
      <c r="I154" s="2">
        <v>71391</v>
      </c>
    </row>
    <row r="155" spans="1:9">
      <c r="A155" s="1">
        <v>45769.607214428863</v>
      </c>
      <c r="B155" t="s">
        <v>12</v>
      </c>
      <c r="C155" t="s">
        <v>17</v>
      </c>
      <c r="D155">
        <v>54</v>
      </c>
      <c r="E155" s="2">
        <v>1676</v>
      </c>
      <c r="F155">
        <v>3</v>
      </c>
      <c r="G155" t="s">
        <v>21</v>
      </c>
      <c r="H155" t="s">
        <v>23</v>
      </c>
      <c r="I155" s="2">
        <v>90504</v>
      </c>
    </row>
    <row r="156" spans="1:9">
      <c r="A156" s="1">
        <v>45770.33667334669</v>
      </c>
      <c r="B156" t="s">
        <v>11</v>
      </c>
      <c r="C156" t="s">
        <v>17</v>
      </c>
      <c r="D156">
        <v>147</v>
      </c>
      <c r="E156" s="2">
        <v>1576</v>
      </c>
      <c r="F156">
        <v>4</v>
      </c>
      <c r="G156" t="s">
        <v>20</v>
      </c>
      <c r="H156" t="s">
        <v>22</v>
      </c>
      <c r="I156" s="2">
        <v>231672</v>
      </c>
    </row>
    <row r="157" spans="1:9">
      <c r="A157" s="1">
        <v>45771.066132264517</v>
      </c>
      <c r="B157" t="s">
        <v>14</v>
      </c>
      <c r="C157" t="s">
        <v>17</v>
      </c>
      <c r="D157">
        <v>174</v>
      </c>
      <c r="E157" s="2">
        <v>1326</v>
      </c>
      <c r="F157">
        <v>2</v>
      </c>
      <c r="G157" t="s">
        <v>21</v>
      </c>
      <c r="H157" t="s">
        <v>22</v>
      </c>
      <c r="I157" s="2">
        <v>230724</v>
      </c>
    </row>
    <row r="158" spans="1:9">
      <c r="A158" s="1">
        <v>45771.795591182359</v>
      </c>
      <c r="B158" t="s">
        <v>9</v>
      </c>
      <c r="C158" t="s">
        <v>18</v>
      </c>
      <c r="D158">
        <v>81</v>
      </c>
      <c r="E158" s="2">
        <v>1443</v>
      </c>
      <c r="F158">
        <v>2</v>
      </c>
      <c r="G158" t="s">
        <v>20</v>
      </c>
      <c r="H158" t="s">
        <v>22</v>
      </c>
      <c r="I158" s="2">
        <v>116883</v>
      </c>
    </row>
    <row r="159" spans="1:9">
      <c r="A159" s="1">
        <v>45772.525050100186</v>
      </c>
      <c r="B159" t="s">
        <v>14</v>
      </c>
      <c r="C159" t="s">
        <v>17</v>
      </c>
      <c r="D159">
        <v>35</v>
      </c>
      <c r="E159" s="2">
        <v>1072</v>
      </c>
      <c r="F159">
        <v>4</v>
      </c>
      <c r="G159" t="s">
        <v>21</v>
      </c>
      <c r="H159" t="s">
        <v>23</v>
      </c>
      <c r="I159" s="2">
        <v>37520</v>
      </c>
    </row>
    <row r="160" spans="1:9">
      <c r="A160" s="1">
        <v>45773.254509018043</v>
      </c>
      <c r="B160" t="s">
        <v>16</v>
      </c>
      <c r="C160" t="s">
        <v>17</v>
      </c>
      <c r="D160">
        <v>124</v>
      </c>
      <c r="E160" s="2">
        <v>1839</v>
      </c>
      <c r="F160">
        <v>4</v>
      </c>
      <c r="G160" t="s">
        <v>20</v>
      </c>
      <c r="H160" t="s">
        <v>23</v>
      </c>
      <c r="I160" s="2">
        <v>228036</v>
      </c>
    </row>
    <row r="161" spans="1:9">
      <c r="A161" s="1">
        <v>45773.98396793587</v>
      </c>
      <c r="B161" t="s">
        <v>10</v>
      </c>
      <c r="C161" t="s">
        <v>18</v>
      </c>
      <c r="D161">
        <v>176</v>
      </c>
      <c r="E161" s="2">
        <v>1221</v>
      </c>
      <c r="F161">
        <v>1</v>
      </c>
      <c r="G161" t="s">
        <v>19</v>
      </c>
      <c r="H161" t="s">
        <v>22</v>
      </c>
      <c r="I161" s="2">
        <v>214896</v>
      </c>
    </row>
    <row r="162" spans="1:9">
      <c r="A162" s="1">
        <v>45774.713426853697</v>
      </c>
      <c r="B162" t="s">
        <v>9</v>
      </c>
      <c r="C162" t="s">
        <v>17</v>
      </c>
      <c r="D162">
        <v>98</v>
      </c>
      <c r="E162" s="2">
        <v>1784</v>
      </c>
      <c r="F162">
        <v>2</v>
      </c>
      <c r="G162" t="s">
        <v>21</v>
      </c>
      <c r="H162" t="s">
        <v>22</v>
      </c>
      <c r="I162" s="2">
        <v>174832</v>
      </c>
    </row>
    <row r="163" spans="1:9">
      <c r="A163" s="1">
        <v>45775.442885771539</v>
      </c>
      <c r="B163" t="s">
        <v>16</v>
      </c>
      <c r="C163" t="s">
        <v>17</v>
      </c>
      <c r="D163">
        <v>72</v>
      </c>
      <c r="E163" s="2">
        <v>1844</v>
      </c>
      <c r="F163">
        <v>4</v>
      </c>
      <c r="G163" t="s">
        <v>21</v>
      </c>
      <c r="H163" t="s">
        <v>23</v>
      </c>
      <c r="I163" s="2">
        <v>132768</v>
      </c>
    </row>
    <row r="164" spans="1:9">
      <c r="A164" s="1">
        <v>45776.172344689367</v>
      </c>
      <c r="B164" t="s">
        <v>13</v>
      </c>
      <c r="C164" t="s">
        <v>17</v>
      </c>
      <c r="D164">
        <v>71</v>
      </c>
      <c r="E164" s="2">
        <v>1251</v>
      </c>
      <c r="F164">
        <v>4</v>
      </c>
      <c r="G164" t="s">
        <v>20</v>
      </c>
      <c r="H164" t="s">
        <v>23</v>
      </c>
      <c r="I164" s="2">
        <v>88821</v>
      </c>
    </row>
    <row r="165" spans="1:9">
      <c r="A165" s="1">
        <v>45776.901803607208</v>
      </c>
      <c r="B165" t="s">
        <v>10</v>
      </c>
      <c r="C165" t="s">
        <v>17</v>
      </c>
      <c r="D165">
        <v>160</v>
      </c>
      <c r="E165" s="2">
        <v>1292</v>
      </c>
      <c r="F165">
        <v>2</v>
      </c>
      <c r="G165" t="s">
        <v>20</v>
      </c>
      <c r="H165" t="s">
        <v>22</v>
      </c>
      <c r="I165" s="2">
        <v>206720</v>
      </c>
    </row>
    <row r="166" spans="1:9">
      <c r="A166" s="1">
        <v>45777.631262525043</v>
      </c>
      <c r="B166" t="s">
        <v>14</v>
      </c>
      <c r="C166" t="s">
        <v>17</v>
      </c>
      <c r="D166">
        <v>173</v>
      </c>
      <c r="E166" s="2">
        <v>1339</v>
      </c>
      <c r="F166">
        <v>4</v>
      </c>
      <c r="G166" t="s">
        <v>21</v>
      </c>
      <c r="H166" t="s">
        <v>22</v>
      </c>
      <c r="I166" s="2">
        <v>231647</v>
      </c>
    </row>
    <row r="167" spans="1:9">
      <c r="A167" s="1">
        <v>45778.360721442878</v>
      </c>
      <c r="B167" t="s">
        <v>16</v>
      </c>
      <c r="C167" t="s">
        <v>17</v>
      </c>
      <c r="D167">
        <v>134</v>
      </c>
      <c r="E167" s="2">
        <v>1464</v>
      </c>
      <c r="F167">
        <v>1</v>
      </c>
      <c r="G167" t="s">
        <v>20</v>
      </c>
      <c r="H167" t="s">
        <v>23</v>
      </c>
      <c r="I167" s="2">
        <v>196176</v>
      </c>
    </row>
    <row r="168" spans="1:9">
      <c r="A168" s="1">
        <v>45779.090180360719</v>
      </c>
      <c r="B168" t="s">
        <v>13</v>
      </c>
      <c r="C168" t="s">
        <v>17</v>
      </c>
      <c r="D168">
        <v>111</v>
      </c>
      <c r="E168" s="2">
        <v>1122</v>
      </c>
      <c r="F168">
        <v>2</v>
      </c>
      <c r="G168" t="s">
        <v>21</v>
      </c>
      <c r="H168" t="s">
        <v>23</v>
      </c>
      <c r="I168" s="2">
        <v>124542</v>
      </c>
    </row>
    <row r="169" spans="1:9">
      <c r="A169" s="1">
        <v>45779.819639278547</v>
      </c>
      <c r="B169" t="s">
        <v>9</v>
      </c>
      <c r="C169" t="s">
        <v>17</v>
      </c>
      <c r="D169">
        <v>37</v>
      </c>
      <c r="E169" s="2">
        <v>1375</v>
      </c>
      <c r="F169">
        <v>1</v>
      </c>
      <c r="G169" t="s">
        <v>19</v>
      </c>
      <c r="H169" t="s">
        <v>23</v>
      </c>
      <c r="I169" s="2">
        <v>50875</v>
      </c>
    </row>
    <row r="170" spans="1:9">
      <c r="A170" s="1">
        <v>45780.549098196389</v>
      </c>
      <c r="B170" t="s">
        <v>9</v>
      </c>
      <c r="C170" t="s">
        <v>17</v>
      </c>
      <c r="D170">
        <v>195</v>
      </c>
      <c r="E170" s="2">
        <v>1008</v>
      </c>
      <c r="F170">
        <v>1</v>
      </c>
      <c r="G170" t="s">
        <v>20</v>
      </c>
      <c r="H170" t="s">
        <v>22</v>
      </c>
      <c r="I170" s="2">
        <v>196560</v>
      </c>
    </row>
    <row r="171" spans="1:9">
      <c r="A171" s="1">
        <v>45781.278557114223</v>
      </c>
      <c r="B171" t="s">
        <v>15</v>
      </c>
      <c r="C171" t="s">
        <v>17</v>
      </c>
      <c r="D171">
        <v>168</v>
      </c>
      <c r="E171" s="2">
        <v>1001</v>
      </c>
      <c r="F171">
        <v>1</v>
      </c>
      <c r="G171" t="s">
        <v>21</v>
      </c>
      <c r="H171" t="s">
        <v>23</v>
      </c>
      <c r="I171" s="2">
        <v>168168</v>
      </c>
    </row>
    <row r="172" spans="1:9">
      <c r="A172" s="1">
        <v>45782.008016032058</v>
      </c>
      <c r="B172" t="s">
        <v>13</v>
      </c>
      <c r="C172" t="s">
        <v>18</v>
      </c>
      <c r="D172">
        <v>44</v>
      </c>
      <c r="E172" s="2">
        <v>1844</v>
      </c>
      <c r="F172">
        <v>1</v>
      </c>
      <c r="G172" t="s">
        <v>19</v>
      </c>
      <c r="H172" t="s">
        <v>22</v>
      </c>
      <c r="I172" s="2">
        <v>81136</v>
      </c>
    </row>
    <row r="173" spans="1:9">
      <c r="A173" s="1">
        <v>45782.737474949892</v>
      </c>
      <c r="B173" t="s">
        <v>11</v>
      </c>
      <c r="C173" t="s">
        <v>17</v>
      </c>
      <c r="D173">
        <v>39</v>
      </c>
      <c r="E173" s="2">
        <v>1469</v>
      </c>
      <c r="F173">
        <v>2</v>
      </c>
      <c r="G173" t="s">
        <v>19</v>
      </c>
      <c r="H173" t="s">
        <v>23</v>
      </c>
      <c r="I173" s="2">
        <v>57291</v>
      </c>
    </row>
    <row r="174" spans="1:9">
      <c r="A174" s="1">
        <v>45783.466933867727</v>
      </c>
      <c r="B174" t="s">
        <v>12</v>
      </c>
      <c r="C174" t="s">
        <v>17</v>
      </c>
      <c r="D174">
        <v>185</v>
      </c>
      <c r="E174" s="2">
        <v>1037</v>
      </c>
      <c r="F174">
        <v>1</v>
      </c>
      <c r="G174" t="s">
        <v>21</v>
      </c>
      <c r="H174" t="s">
        <v>23</v>
      </c>
      <c r="I174" s="2">
        <v>191845</v>
      </c>
    </row>
    <row r="175" spans="1:9">
      <c r="A175" s="1">
        <v>45784.196392785569</v>
      </c>
      <c r="B175" t="s">
        <v>10</v>
      </c>
      <c r="C175" t="s">
        <v>17</v>
      </c>
      <c r="D175">
        <v>172</v>
      </c>
      <c r="E175" s="2">
        <v>1662</v>
      </c>
      <c r="F175">
        <v>1</v>
      </c>
      <c r="G175" t="s">
        <v>20</v>
      </c>
      <c r="H175" t="s">
        <v>23</v>
      </c>
      <c r="I175" s="2">
        <v>285864</v>
      </c>
    </row>
    <row r="176" spans="1:9">
      <c r="A176" s="1">
        <v>45784.925851703403</v>
      </c>
      <c r="B176" t="s">
        <v>13</v>
      </c>
      <c r="C176" t="s">
        <v>17</v>
      </c>
      <c r="D176">
        <v>164</v>
      </c>
      <c r="E176" s="2">
        <v>947</v>
      </c>
      <c r="F176">
        <v>4</v>
      </c>
      <c r="G176" t="s">
        <v>21</v>
      </c>
      <c r="H176" t="s">
        <v>23</v>
      </c>
      <c r="I176" s="2">
        <v>155308</v>
      </c>
    </row>
    <row r="177" spans="1:9">
      <c r="A177" s="1">
        <v>45785.655310621238</v>
      </c>
      <c r="B177" t="s">
        <v>15</v>
      </c>
      <c r="C177" t="s">
        <v>18</v>
      </c>
      <c r="D177">
        <v>47</v>
      </c>
      <c r="E177" s="2">
        <v>980</v>
      </c>
      <c r="F177">
        <v>2</v>
      </c>
      <c r="G177" t="s">
        <v>19</v>
      </c>
      <c r="H177" t="s">
        <v>22</v>
      </c>
      <c r="I177" s="2">
        <v>46060</v>
      </c>
    </row>
    <row r="178" spans="1:9">
      <c r="A178" s="1">
        <v>45786.384769539072</v>
      </c>
      <c r="B178" t="s">
        <v>12</v>
      </c>
      <c r="C178" t="s">
        <v>18</v>
      </c>
      <c r="D178">
        <v>164</v>
      </c>
      <c r="E178" s="2">
        <v>1654</v>
      </c>
      <c r="F178">
        <v>2</v>
      </c>
      <c r="G178" t="s">
        <v>21</v>
      </c>
      <c r="H178" t="s">
        <v>22</v>
      </c>
      <c r="I178" s="2">
        <v>271256</v>
      </c>
    </row>
    <row r="179" spans="1:9">
      <c r="A179" s="1">
        <v>45787.114228456907</v>
      </c>
      <c r="B179" t="s">
        <v>12</v>
      </c>
      <c r="C179" t="s">
        <v>17</v>
      </c>
      <c r="D179">
        <v>118</v>
      </c>
      <c r="E179" s="2">
        <v>1020</v>
      </c>
      <c r="F179">
        <v>3</v>
      </c>
      <c r="G179" t="s">
        <v>20</v>
      </c>
      <c r="H179" t="s">
        <v>23</v>
      </c>
      <c r="I179" s="2">
        <v>120360</v>
      </c>
    </row>
    <row r="180" spans="1:9">
      <c r="A180" s="1">
        <v>45787.843687374749</v>
      </c>
      <c r="B180" t="s">
        <v>16</v>
      </c>
      <c r="C180" t="s">
        <v>17</v>
      </c>
      <c r="D180">
        <v>99</v>
      </c>
      <c r="E180" s="2">
        <v>1785</v>
      </c>
      <c r="F180">
        <v>2</v>
      </c>
      <c r="G180" t="s">
        <v>19</v>
      </c>
      <c r="H180" t="s">
        <v>22</v>
      </c>
      <c r="I180" s="2">
        <v>176715</v>
      </c>
    </row>
    <row r="181" spans="1:9">
      <c r="A181" s="1">
        <v>45788.573146292583</v>
      </c>
      <c r="B181" t="s">
        <v>12</v>
      </c>
      <c r="C181" t="s">
        <v>18</v>
      </c>
      <c r="D181">
        <v>97</v>
      </c>
      <c r="E181" s="2">
        <v>1835</v>
      </c>
      <c r="F181">
        <v>2</v>
      </c>
      <c r="G181" t="s">
        <v>21</v>
      </c>
      <c r="H181" t="s">
        <v>23</v>
      </c>
      <c r="I181" s="2">
        <v>177995</v>
      </c>
    </row>
    <row r="182" spans="1:9">
      <c r="A182" s="1">
        <v>45789.302605210418</v>
      </c>
      <c r="B182" t="s">
        <v>11</v>
      </c>
      <c r="C182" t="s">
        <v>17</v>
      </c>
      <c r="D182">
        <v>135</v>
      </c>
      <c r="E182" s="2">
        <v>1032</v>
      </c>
      <c r="F182">
        <v>3</v>
      </c>
      <c r="G182" t="s">
        <v>20</v>
      </c>
      <c r="H182" t="s">
        <v>23</v>
      </c>
      <c r="I182" s="2">
        <v>139320</v>
      </c>
    </row>
    <row r="183" spans="1:9">
      <c r="A183" s="1">
        <v>45790.032064128252</v>
      </c>
      <c r="B183" t="s">
        <v>9</v>
      </c>
      <c r="C183" t="s">
        <v>17</v>
      </c>
      <c r="D183">
        <v>107</v>
      </c>
      <c r="E183" s="2">
        <v>1832</v>
      </c>
      <c r="F183">
        <v>2</v>
      </c>
      <c r="G183" t="s">
        <v>19</v>
      </c>
      <c r="H183" t="s">
        <v>23</v>
      </c>
      <c r="I183" s="2">
        <v>196024</v>
      </c>
    </row>
    <row r="184" spans="1:9">
      <c r="A184" s="1">
        <v>45790.761523046087</v>
      </c>
      <c r="B184" t="s">
        <v>15</v>
      </c>
      <c r="C184" t="s">
        <v>17</v>
      </c>
      <c r="D184">
        <v>51</v>
      </c>
      <c r="E184" s="2">
        <v>1213</v>
      </c>
      <c r="F184">
        <v>2</v>
      </c>
      <c r="G184" t="s">
        <v>20</v>
      </c>
      <c r="H184" t="s">
        <v>23</v>
      </c>
      <c r="I184" s="2">
        <v>61863</v>
      </c>
    </row>
    <row r="185" spans="1:9">
      <c r="A185" s="1">
        <v>45791.490981963922</v>
      </c>
      <c r="B185" t="s">
        <v>12</v>
      </c>
      <c r="C185" t="s">
        <v>18</v>
      </c>
      <c r="D185">
        <v>43</v>
      </c>
      <c r="E185" s="2">
        <v>888</v>
      </c>
      <c r="F185">
        <v>2</v>
      </c>
      <c r="G185" t="s">
        <v>19</v>
      </c>
      <c r="H185" t="s">
        <v>22</v>
      </c>
      <c r="I185" s="2">
        <v>38184</v>
      </c>
    </row>
    <row r="186" spans="1:9">
      <c r="A186" s="1">
        <v>45792.220440881763</v>
      </c>
      <c r="B186" t="s">
        <v>16</v>
      </c>
      <c r="C186" t="s">
        <v>17</v>
      </c>
      <c r="D186">
        <v>177</v>
      </c>
      <c r="E186" s="2">
        <v>1376</v>
      </c>
      <c r="F186">
        <v>2</v>
      </c>
      <c r="G186" t="s">
        <v>21</v>
      </c>
      <c r="H186" t="s">
        <v>23</v>
      </c>
      <c r="I186" s="2">
        <v>243552</v>
      </c>
    </row>
    <row r="187" spans="1:9">
      <c r="A187" s="1">
        <v>45792.949899799598</v>
      </c>
      <c r="B187" t="s">
        <v>11</v>
      </c>
      <c r="C187" t="s">
        <v>18</v>
      </c>
      <c r="D187">
        <v>186</v>
      </c>
      <c r="E187" s="2">
        <v>1737</v>
      </c>
      <c r="F187">
        <v>3</v>
      </c>
      <c r="G187" t="s">
        <v>20</v>
      </c>
      <c r="H187" t="s">
        <v>23</v>
      </c>
      <c r="I187" s="2">
        <v>323082</v>
      </c>
    </row>
    <row r="188" spans="1:9">
      <c r="A188" s="1">
        <v>45793.679358717432</v>
      </c>
      <c r="B188" t="s">
        <v>14</v>
      </c>
      <c r="C188" t="s">
        <v>18</v>
      </c>
      <c r="D188">
        <v>72</v>
      </c>
      <c r="E188" s="2">
        <v>1346</v>
      </c>
      <c r="F188">
        <v>2</v>
      </c>
      <c r="G188" t="s">
        <v>19</v>
      </c>
      <c r="H188" t="s">
        <v>22</v>
      </c>
      <c r="I188" s="2">
        <v>96912</v>
      </c>
    </row>
    <row r="189" spans="1:9">
      <c r="A189" s="1">
        <v>45794.408817635267</v>
      </c>
      <c r="B189" t="s">
        <v>9</v>
      </c>
      <c r="C189" t="s">
        <v>18</v>
      </c>
      <c r="D189">
        <v>197</v>
      </c>
      <c r="E189" s="2">
        <v>1365</v>
      </c>
      <c r="F189">
        <v>2</v>
      </c>
      <c r="G189" t="s">
        <v>20</v>
      </c>
      <c r="H189" t="s">
        <v>23</v>
      </c>
      <c r="I189" s="2">
        <v>268905</v>
      </c>
    </row>
    <row r="190" spans="1:9">
      <c r="A190" s="1">
        <v>45795.138276553102</v>
      </c>
      <c r="B190" t="s">
        <v>9</v>
      </c>
      <c r="C190" t="s">
        <v>18</v>
      </c>
      <c r="D190">
        <v>128</v>
      </c>
      <c r="E190" s="2">
        <v>1198</v>
      </c>
      <c r="F190">
        <v>3</v>
      </c>
      <c r="G190" t="s">
        <v>20</v>
      </c>
      <c r="H190" t="s">
        <v>23</v>
      </c>
      <c r="I190" s="2">
        <v>153344</v>
      </c>
    </row>
    <row r="191" spans="1:9">
      <c r="A191" s="1">
        <v>45795.867735470943</v>
      </c>
      <c r="B191" t="s">
        <v>15</v>
      </c>
      <c r="C191" t="s">
        <v>18</v>
      </c>
      <c r="D191">
        <v>129</v>
      </c>
      <c r="E191" s="2">
        <v>1831</v>
      </c>
      <c r="F191">
        <v>4</v>
      </c>
      <c r="G191" t="s">
        <v>21</v>
      </c>
      <c r="H191" t="s">
        <v>23</v>
      </c>
      <c r="I191" s="2">
        <v>236199</v>
      </c>
    </row>
    <row r="192" spans="1:9">
      <c r="A192" s="1">
        <v>45796.597194388771</v>
      </c>
      <c r="B192" t="s">
        <v>9</v>
      </c>
      <c r="C192" t="s">
        <v>17</v>
      </c>
      <c r="D192">
        <v>83</v>
      </c>
      <c r="E192" s="2">
        <v>1770</v>
      </c>
      <c r="F192">
        <v>1</v>
      </c>
      <c r="G192" t="s">
        <v>20</v>
      </c>
      <c r="H192" t="s">
        <v>22</v>
      </c>
      <c r="I192" s="2">
        <v>146910</v>
      </c>
    </row>
    <row r="193" spans="1:9">
      <c r="A193" s="1">
        <v>45797.326653306613</v>
      </c>
      <c r="B193" t="s">
        <v>12</v>
      </c>
      <c r="C193" t="s">
        <v>17</v>
      </c>
      <c r="D193">
        <v>103</v>
      </c>
      <c r="E193" s="2">
        <v>1246</v>
      </c>
      <c r="F193">
        <v>4</v>
      </c>
      <c r="G193" t="s">
        <v>19</v>
      </c>
      <c r="H193" t="s">
        <v>23</v>
      </c>
      <c r="I193" s="2">
        <v>128338</v>
      </c>
    </row>
    <row r="194" spans="1:9">
      <c r="A194" s="1">
        <v>45798.056112224447</v>
      </c>
      <c r="B194" t="s">
        <v>16</v>
      </c>
      <c r="C194" t="s">
        <v>17</v>
      </c>
      <c r="D194">
        <v>96</v>
      </c>
      <c r="E194" s="2">
        <v>1571</v>
      </c>
      <c r="F194">
        <v>3</v>
      </c>
      <c r="G194" t="s">
        <v>19</v>
      </c>
      <c r="H194" t="s">
        <v>22</v>
      </c>
      <c r="I194" s="2">
        <v>150816</v>
      </c>
    </row>
    <row r="195" spans="1:9">
      <c r="A195" s="1">
        <v>45798.785571142282</v>
      </c>
      <c r="B195" t="s">
        <v>9</v>
      </c>
      <c r="C195" t="s">
        <v>18</v>
      </c>
      <c r="D195">
        <v>112</v>
      </c>
      <c r="E195" s="2">
        <v>1010</v>
      </c>
      <c r="F195">
        <v>1</v>
      </c>
      <c r="G195" t="s">
        <v>19</v>
      </c>
      <c r="H195" t="s">
        <v>23</v>
      </c>
      <c r="I195" s="2">
        <v>113120</v>
      </c>
    </row>
    <row r="196" spans="1:9">
      <c r="A196" s="1">
        <v>45799.515030060124</v>
      </c>
      <c r="B196" t="s">
        <v>9</v>
      </c>
      <c r="C196" t="s">
        <v>17</v>
      </c>
      <c r="D196">
        <v>151</v>
      </c>
      <c r="E196" s="2">
        <v>865</v>
      </c>
      <c r="F196">
        <v>3</v>
      </c>
      <c r="G196" t="s">
        <v>19</v>
      </c>
      <c r="H196" t="s">
        <v>23</v>
      </c>
      <c r="I196" s="2">
        <v>130615</v>
      </c>
    </row>
    <row r="197" spans="1:9">
      <c r="A197" s="1">
        <v>45800.244488977951</v>
      </c>
      <c r="B197" t="s">
        <v>14</v>
      </c>
      <c r="C197" t="s">
        <v>18</v>
      </c>
      <c r="D197">
        <v>154</v>
      </c>
      <c r="E197" s="2">
        <v>1342</v>
      </c>
      <c r="F197">
        <v>3</v>
      </c>
      <c r="G197" t="s">
        <v>21</v>
      </c>
      <c r="H197" t="s">
        <v>22</v>
      </c>
      <c r="I197" s="2">
        <v>206668</v>
      </c>
    </row>
    <row r="198" spans="1:9">
      <c r="A198" s="1">
        <v>45800.973947895793</v>
      </c>
      <c r="B198" t="s">
        <v>14</v>
      </c>
      <c r="C198" t="s">
        <v>17</v>
      </c>
      <c r="D198">
        <v>171</v>
      </c>
      <c r="E198" s="2">
        <v>1275</v>
      </c>
      <c r="F198">
        <v>2</v>
      </c>
      <c r="G198" t="s">
        <v>20</v>
      </c>
      <c r="H198" t="s">
        <v>23</v>
      </c>
      <c r="I198" s="2">
        <v>218025</v>
      </c>
    </row>
    <row r="199" spans="1:9">
      <c r="A199" s="1">
        <v>45801.70340681362</v>
      </c>
      <c r="B199" t="s">
        <v>10</v>
      </c>
      <c r="C199" t="s">
        <v>17</v>
      </c>
      <c r="D199">
        <v>196</v>
      </c>
      <c r="E199" s="2">
        <v>957</v>
      </c>
      <c r="F199">
        <v>1</v>
      </c>
      <c r="G199" t="s">
        <v>21</v>
      </c>
      <c r="H199" t="s">
        <v>23</v>
      </c>
      <c r="I199" s="2">
        <v>187572</v>
      </c>
    </row>
    <row r="200" spans="1:9">
      <c r="A200" s="1">
        <v>45802.432865731462</v>
      </c>
      <c r="B200" t="s">
        <v>11</v>
      </c>
      <c r="C200" t="s">
        <v>17</v>
      </c>
      <c r="D200">
        <v>110</v>
      </c>
      <c r="E200" s="2">
        <v>1743</v>
      </c>
      <c r="F200">
        <v>2</v>
      </c>
      <c r="G200" t="s">
        <v>20</v>
      </c>
      <c r="H200" t="s">
        <v>22</v>
      </c>
      <c r="I200" s="2">
        <v>191730</v>
      </c>
    </row>
    <row r="201" spans="1:9">
      <c r="A201" s="1">
        <v>45803.162324649304</v>
      </c>
      <c r="B201" t="s">
        <v>12</v>
      </c>
      <c r="C201" t="s">
        <v>17</v>
      </c>
      <c r="D201">
        <v>69</v>
      </c>
      <c r="E201" s="2">
        <v>1299</v>
      </c>
      <c r="F201">
        <v>1</v>
      </c>
      <c r="G201" t="s">
        <v>20</v>
      </c>
      <c r="H201" t="s">
        <v>22</v>
      </c>
      <c r="I201" s="2">
        <v>89631</v>
      </c>
    </row>
    <row r="202" spans="1:9">
      <c r="A202" s="1">
        <v>45803.891783567131</v>
      </c>
      <c r="B202" t="s">
        <v>9</v>
      </c>
      <c r="C202" t="s">
        <v>17</v>
      </c>
      <c r="D202">
        <v>35</v>
      </c>
      <c r="E202" s="2">
        <v>1160</v>
      </c>
      <c r="F202">
        <v>3</v>
      </c>
      <c r="G202" t="s">
        <v>20</v>
      </c>
      <c r="H202" t="s">
        <v>22</v>
      </c>
      <c r="I202" s="2">
        <v>40600</v>
      </c>
    </row>
    <row r="203" spans="1:9">
      <c r="A203" s="1">
        <v>45804.621242484973</v>
      </c>
      <c r="B203" t="s">
        <v>13</v>
      </c>
      <c r="C203" t="s">
        <v>17</v>
      </c>
      <c r="D203">
        <v>74</v>
      </c>
      <c r="E203" s="2">
        <v>1588</v>
      </c>
      <c r="F203">
        <v>3</v>
      </c>
      <c r="G203" t="s">
        <v>21</v>
      </c>
      <c r="H203" t="s">
        <v>22</v>
      </c>
      <c r="I203" s="2">
        <v>117512</v>
      </c>
    </row>
    <row r="204" spans="1:9">
      <c r="A204" s="1">
        <v>45805.3507014028</v>
      </c>
      <c r="B204" t="s">
        <v>9</v>
      </c>
      <c r="C204" t="s">
        <v>17</v>
      </c>
      <c r="D204">
        <v>98</v>
      </c>
      <c r="E204" s="2">
        <v>1019</v>
      </c>
      <c r="F204">
        <v>4</v>
      </c>
      <c r="G204" t="s">
        <v>20</v>
      </c>
      <c r="H204" t="s">
        <v>22</v>
      </c>
      <c r="I204" s="2">
        <v>99862</v>
      </c>
    </row>
    <row r="205" spans="1:9">
      <c r="A205" s="1">
        <v>45806.080160320627</v>
      </c>
      <c r="B205" t="s">
        <v>16</v>
      </c>
      <c r="C205" t="s">
        <v>18</v>
      </c>
      <c r="D205">
        <v>184</v>
      </c>
      <c r="E205" s="2">
        <v>1395</v>
      </c>
      <c r="F205">
        <v>1</v>
      </c>
      <c r="G205" t="s">
        <v>21</v>
      </c>
      <c r="H205" t="s">
        <v>23</v>
      </c>
      <c r="I205" s="2">
        <v>256680</v>
      </c>
    </row>
    <row r="206" spans="1:9">
      <c r="A206" s="1">
        <v>45806.809619238469</v>
      </c>
      <c r="B206" t="s">
        <v>10</v>
      </c>
      <c r="C206" t="s">
        <v>17</v>
      </c>
      <c r="D206">
        <v>94</v>
      </c>
      <c r="E206" s="2">
        <v>1263</v>
      </c>
      <c r="F206">
        <v>2</v>
      </c>
      <c r="G206" t="s">
        <v>19</v>
      </c>
      <c r="H206" t="s">
        <v>22</v>
      </c>
      <c r="I206" s="2">
        <v>118722</v>
      </c>
    </row>
    <row r="207" spans="1:9">
      <c r="A207" s="1">
        <v>45807.539078156311</v>
      </c>
      <c r="B207" t="s">
        <v>11</v>
      </c>
      <c r="C207" t="s">
        <v>17</v>
      </c>
      <c r="D207">
        <v>98</v>
      </c>
      <c r="E207" s="2">
        <v>1100</v>
      </c>
      <c r="F207">
        <v>4</v>
      </c>
      <c r="G207" t="s">
        <v>19</v>
      </c>
      <c r="H207" t="s">
        <v>23</v>
      </c>
      <c r="I207" s="2">
        <v>107800</v>
      </c>
    </row>
    <row r="208" spans="1:9">
      <c r="A208" s="1">
        <v>45808.268537074153</v>
      </c>
      <c r="B208" t="s">
        <v>13</v>
      </c>
      <c r="C208" t="s">
        <v>17</v>
      </c>
      <c r="D208">
        <v>127</v>
      </c>
      <c r="E208" s="2">
        <v>1608</v>
      </c>
      <c r="F208">
        <v>4</v>
      </c>
      <c r="G208" t="s">
        <v>20</v>
      </c>
      <c r="H208" t="s">
        <v>23</v>
      </c>
      <c r="I208" s="2">
        <v>204216</v>
      </c>
    </row>
    <row r="209" spans="1:9">
      <c r="A209" s="1">
        <v>45808.99799599198</v>
      </c>
      <c r="B209" t="s">
        <v>10</v>
      </c>
      <c r="C209" t="s">
        <v>17</v>
      </c>
      <c r="D209">
        <v>106</v>
      </c>
      <c r="E209" s="2">
        <v>1630</v>
      </c>
      <c r="F209">
        <v>4</v>
      </c>
      <c r="G209" t="s">
        <v>21</v>
      </c>
      <c r="H209" t="s">
        <v>23</v>
      </c>
      <c r="I209" s="2">
        <v>172780</v>
      </c>
    </row>
    <row r="210" spans="1:9">
      <c r="A210" s="1">
        <v>45809.727454909807</v>
      </c>
      <c r="B210" t="s">
        <v>15</v>
      </c>
      <c r="C210" t="s">
        <v>17</v>
      </c>
      <c r="D210">
        <v>45</v>
      </c>
      <c r="E210" s="2">
        <v>990</v>
      </c>
      <c r="F210">
        <v>2</v>
      </c>
      <c r="G210" t="s">
        <v>19</v>
      </c>
      <c r="H210" t="s">
        <v>22</v>
      </c>
      <c r="I210" s="2">
        <v>44550</v>
      </c>
    </row>
    <row r="211" spans="1:9">
      <c r="A211" s="1">
        <v>45810.456913827649</v>
      </c>
      <c r="B211" t="s">
        <v>11</v>
      </c>
      <c r="C211" t="s">
        <v>18</v>
      </c>
      <c r="D211">
        <v>139</v>
      </c>
      <c r="E211" s="2">
        <v>1123</v>
      </c>
      <c r="F211">
        <v>4</v>
      </c>
      <c r="G211" t="s">
        <v>21</v>
      </c>
      <c r="H211" t="s">
        <v>22</v>
      </c>
      <c r="I211" s="2">
        <v>156097</v>
      </c>
    </row>
    <row r="212" spans="1:9">
      <c r="A212" s="1">
        <v>45811.186372745477</v>
      </c>
      <c r="B212" t="s">
        <v>9</v>
      </c>
      <c r="C212" t="s">
        <v>17</v>
      </c>
      <c r="D212">
        <v>48</v>
      </c>
      <c r="E212" s="2">
        <v>1265</v>
      </c>
      <c r="F212">
        <v>2</v>
      </c>
      <c r="G212" t="s">
        <v>21</v>
      </c>
      <c r="H212" t="s">
        <v>23</v>
      </c>
      <c r="I212" s="2">
        <v>60720</v>
      </c>
    </row>
    <row r="213" spans="1:9">
      <c r="A213" s="1">
        <v>45811.915831663318</v>
      </c>
      <c r="B213" t="s">
        <v>9</v>
      </c>
      <c r="C213" t="s">
        <v>17</v>
      </c>
      <c r="D213">
        <v>94</v>
      </c>
      <c r="E213" s="2">
        <v>1457</v>
      </c>
      <c r="F213">
        <v>4</v>
      </c>
      <c r="G213" t="s">
        <v>20</v>
      </c>
      <c r="H213" t="s">
        <v>22</v>
      </c>
      <c r="I213" s="2">
        <v>136958</v>
      </c>
    </row>
    <row r="214" spans="1:9">
      <c r="A214" s="1">
        <v>45812.64529058116</v>
      </c>
      <c r="B214" t="s">
        <v>11</v>
      </c>
      <c r="C214" t="s">
        <v>17</v>
      </c>
      <c r="D214">
        <v>64</v>
      </c>
      <c r="E214" s="2">
        <v>1588</v>
      </c>
      <c r="F214">
        <v>2</v>
      </c>
      <c r="G214" t="s">
        <v>19</v>
      </c>
      <c r="H214" t="s">
        <v>22</v>
      </c>
      <c r="I214" s="2">
        <v>101632</v>
      </c>
    </row>
    <row r="215" spans="1:9">
      <c r="A215" s="1">
        <v>45813.374749498988</v>
      </c>
      <c r="B215" t="s">
        <v>9</v>
      </c>
      <c r="C215" t="s">
        <v>18</v>
      </c>
      <c r="D215">
        <v>69</v>
      </c>
      <c r="E215" s="2">
        <v>1740</v>
      </c>
      <c r="F215">
        <v>3</v>
      </c>
      <c r="G215" t="s">
        <v>20</v>
      </c>
      <c r="H215" t="s">
        <v>22</v>
      </c>
      <c r="I215" s="2">
        <v>120060</v>
      </c>
    </row>
    <row r="216" spans="1:9">
      <c r="A216" s="1">
        <v>45814.104208416829</v>
      </c>
      <c r="B216" t="s">
        <v>12</v>
      </c>
      <c r="C216" t="s">
        <v>17</v>
      </c>
      <c r="D216">
        <v>199</v>
      </c>
      <c r="E216" s="2">
        <v>888</v>
      </c>
      <c r="F216">
        <v>3</v>
      </c>
      <c r="G216" t="s">
        <v>20</v>
      </c>
      <c r="H216" t="s">
        <v>22</v>
      </c>
      <c r="I216" s="2">
        <v>176712</v>
      </c>
    </row>
    <row r="217" spans="1:9">
      <c r="A217" s="1">
        <v>45814.833667334657</v>
      </c>
      <c r="B217" t="s">
        <v>11</v>
      </c>
      <c r="C217" t="s">
        <v>17</v>
      </c>
      <c r="D217">
        <v>39</v>
      </c>
      <c r="E217" s="2">
        <v>1663</v>
      </c>
      <c r="F217">
        <v>3</v>
      </c>
      <c r="G217" t="s">
        <v>19</v>
      </c>
      <c r="H217" t="s">
        <v>23</v>
      </c>
      <c r="I217" s="2">
        <v>64857</v>
      </c>
    </row>
    <row r="218" spans="1:9">
      <c r="A218" s="1">
        <v>45815.563126252498</v>
      </c>
      <c r="B218" t="s">
        <v>10</v>
      </c>
      <c r="C218" t="s">
        <v>17</v>
      </c>
      <c r="D218">
        <v>117</v>
      </c>
      <c r="E218" s="2">
        <v>878</v>
      </c>
      <c r="F218">
        <v>3</v>
      </c>
      <c r="G218" t="s">
        <v>19</v>
      </c>
      <c r="H218" t="s">
        <v>23</v>
      </c>
      <c r="I218" s="2">
        <v>102726</v>
      </c>
    </row>
    <row r="219" spans="1:9">
      <c r="A219" s="1">
        <v>45816.292585170333</v>
      </c>
      <c r="B219" t="s">
        <v>11</v>
      </c>
      <c r="C219" t="s">
        <v>17</v>
      </c>
      <c r="D219">
        <v>157</v>
      </c>
      <c r="E219" s="2">
        <v>1807</v>
      </c>
      <c r="F219">
        <v>3</v>
      </c>
      <c r="G219" t="s">
        <v>21</v>
      </c>
      <c r="H219" t="s">
        <v>22</v>
      </c>
      <c r="I219" s="2">
        <v>283699</v>
      </c>
    </row>
    <row r="220" spans="1:9">
      <c r="A220" s="1">
        <v>45817.022044088168</v>
      </c>
      <c r="B220" t="s">
        <v>13</v>
      </c>
      <c r="C220" t="s">
        <v>17</v>
      </c>
      <c r="D220">
        <v>112</v>
      </c>
      <c r="E220" s="2">
        <v>1326</v>
      </c>
      <c r="F220">
        <v>4</v>
      </c>
      <c r="G220" t="s">
        <v>19</v>
      </c>
      <c r="H220" t="s">
        <v>23</v>
      </c>
      <c r="I220" s="2">
        <v>148512</v>
      </c>
    </row>
    <row r="221" spans="1:9">
      <c r="A221" s="1">
        <v>45817.751503006009</v>
      </c>
      <c r="B221" t="s">
        <v>9</v>
      </c>
      <c r="C221" t="s">
        <v>17</v>
      </c>
      <c r="D221">
        <v>188</v>
      </c>
      <c r="E221" s="2">
        <v>1167</v>
      </c>
      <c r="F221">
        <v>4</v>
      </c>
      <c r="G221" t="s">
        <v>21</v>
      </c>
      <c r="H221" t="s">
        <v>22</v>
      </c>
      <c r="I221" s="2">
        <v>219396</v>
      </c>
    </row>
    <row r="222" spans="1:9">
      <c r="A222" s="1">
        <v>45818.480961923837</v>
      </c>
      <c r="B222" t="s">
        <v>12</v>
      </c>
      <c r="C222" t="s">
        <v>17</v>
      </c>
      <c r="D222">
        <v>96</v>
      </c>
      <c r="E222" s="2">
        <v>1094</v>
      </c>
      <c r="F222">
        <v>4</v>
      </c>
      <c r="G222" t="s">
        <v>21</v>
      </c>
      <c r="H222" t="s">
        <v>22</v>
      </c>
      <c r="I222" s="2">
        <v>105024</v>
      </c>
    </row>
    <row r="223" spans="1:9">
      <c r="A223" s="1">
        <v>45819.210420841679</v>
      </c>
      <c r="B223" t="s">
        <v>12</v>
      </c>
      <c r="C223" t="s">
        <v>17</v>
      </c>
      <c r="D223">
        <v>166</v>
      </c>
      <c r="E223" s="2">
        <v>1597</v>
      </c>
      <c r="F223">
        <v>2</v>
      </c>
      <c r="G223" t="s">
        <v>21</v>
      </c>
      <c r="H223" t="s">
        <v>23</v>
      </c>
      <c r="I223" s="2">
        <v>265102</v>
      </c>
    </row>
    <row r="224" spans="1:9">
      <c r="A224" s="1">
        <v>45819.939879759513</v>
      </c>
      <c r="B224" t="s">
        <v>15</v>
      </c>
      <c r="C224" t="s">
        <v>18</v>
      </c>
      <c r="D224">
        <v>123</v>
      </c>
      <c r="E224" s="2">
        <v>1546</v>
      </c>
      <c r="F224">
        <v>2</v>
      </c>
      <c r="G224" t="s">
        <v>19</v>
      </c>
      <c r="H224" t="s">
        <v>23</v>
      </c>
      <c r="I224" s="2">
        <v>190158</v>
      </c>
    </row>
    <row r="225" spans="1:9">
      <c r="A225" s="1">
        <v>45820.669338677348</v>
      </c>
      <c r="B225" t="s">
        <v>10</v>
      </c>
      <c r="C225" t="s">
        <v>17</v>
      </c>
      <c r="D225">
        <v>76</v>
      </c>
      <c r="E225" s="2">
        <v>1121</v>
      </c>
      <c r="F225">
        <v>2</v>
      </c>
      <c r="G225" t="s">
        <v>20</v>
      </c>
      <c r="H225" t="s">
        <v>23</v>
      </c>
      <c r="I225" s="2">
        <v>85196</v>
      </c>
    </row>
    <row r="226" spans="1:9">
      <c r="A226" s="1">
        <v>45821.398797595182</v>
      </c>
      <c r="B226" t="s">
        <v>14</v>
      </c>
      <c r="C226" t="s">
        <v>17</v>
      </c>
      <c r="D226">
        <v>123</v>
      </c>
      <c r="E226" s="2">
        <v>1289</v>
      </c>
      <c r="F226">
        <v>2</v>
      </c>
      <c r="G226" t="s">
        <v>21</v>
      </c>
      <c r="H226" t="s">
        <v>22</v>
      </c>
      <c r="I226" s="2">
        <v>158547</v>
      </c>
    </row>
    <row r="227" spans="1:9">
      <c r="A227" s="1">
        <v>45822.128256513017</v>
      </c>
      <c r="B227" t="s">
        <v>14</v>
      </c>
      <c r="C227" t="s">
        <v>18</v>
      </c>
      <c r="D227">
        <v>180</v>
      </c>
      <c r="E227" s="2">
        <v>1597</v>
      </c>
      <c r="F227">
        <v>3</v>
      </c>
      <c r="G227" t="s">
        <v>20</v>
      </c>
      <c r="H227" t="s">
        <v>23</v>
      </c>
      <c r="I227" s="2">
        <v>287460</v>
      </c>
    </row>
    <row r="228" spans="1:9">
      <c r="A228" s="1">
        <v>45822.857715430859</v>
      </c>
      <c r="B228" t="s">
        <v>11</v>
      </c>
      <c r="C228" t="s">
        <v>17</v>
      </c>
      <c r="D228">
        <v>74</v>
      </c>
      <c r="E228" s="2">
        <v>1088</v>
      </c>
      <c r="F228">
        <v>3</v>
      </c>
      <c r="G228" t="s">
        <v>20</v>
      </c>
      <c r="H228" t="s">
        <v>22</v>
      </c>
      <c r="I228" s="2">
        <v>80512</v>
      </c>
    </row>
    <row r="229" spans="1:9">
      <c r="A229" s="1">
        <v>45823.587174348693</v>
      </c>
      <c r="B229" t="s">
        <v>15</v>
      </c>
      <c r="C229" t="s">
        <v>18</v>
      </c>
      <c r="D229">
        <v>106</v>
      </c>
      <c r="E229" s="2">
        <v>1226</v>
      </c>
      <c r="F229">
        <v>3</v>
      </c>
      <c r="G229" t="s">
        <v>19</v>
      </c>
      <c r="H229" t="s">
        <v>23</v>
      </c>
      <c r="I229" s="2">
        <v>129956</v>
      </c>
    </row>
    <row r="230" spans="1:9">
      <c r="A230" s="1">
        <v>45824.316633266528</v>
      </c>
      <c r="B230" t="s">
        <v>16</v>
      </c>
      <c r="C230" t="s">
        <v>17</v>
      </c>
      <c r="D230">
        <v>73</v>
      </c>
      <c r="E230" s="2">
        <v>1115</v>
      </c>
      <c r="F230">
        <v>1</v>
      </c>
      <c r="G230" t="s">
        <v>20</v>
      </c>
      <c r="H230" t="s">
        <v>23</v>
      </c>
      <c r="I230" s="2">
        <v>81395</v>
      </c>
    </row>
    <row r="231" spans="1:9">
      <c r="A231" s="1">
        <v>45825.046092184362</v>
      </c>
      <c r="B231" t="s">
        <v>11</v>
      </c>
      <c r="C231" t="s">
        <v>17</v>
      </c>
      <c r="D231">
        <v>138</v>
      </c>
      <c r="E231" s="2">
        <v>1775</v>
      </c>
      <c r="F231">
        <v>4</v>
      </c>
      <c r="G231" t="s">
        <v>20</v>
      </c>
      <c r="H231" t="s">
        <v>22</v>
      </c>
      <c r="I231" s="2">
        <v>244950</v>
      </c>
    </row>
    <row r="232" spans="1:9">
      <c r="A232" s="1">
        <v>45825.775551102197</v>
      </c>
      <c r="B232" t="s">
        <v>15</v>
      </c>
      <c r="C232" t="s">
        <v>17</v>
      </c>
      <c r="D232">
        <v>48</v>
      </c>
      <c r="E232" s="2">
        <v>1770</v>
      </c>
      <c r="F232">
        <v>2</v>
      </c>
      <c r="G232" t="s">
        <v>19</v>
      </c>
      <c r="H232" t="s">
        <v>22</v>
      </c>
      <c r="I232" s="2">
        <v>84960</v>
      </c>
    </row>
    <row r="233" spans="1:9">
      <c r="A233" s="1">
        <v>45826.505010020031</v>
      </c>
      <c r="B233" t="s">
        <v>10</v>
      </c>
      <c r="C233" t="s">
        <v>17</v>
      </c>
      <c r="D233">
        <v>66</v>
      </c>
      <c r="E233" s="2">
        <v>1208</v>
      </c>
      <c r="F233">
        <v>2</v>
      </c>
      <c r="G233" t="s">
        <v>21</v>
      </c>
      <c r="H233" t="s">
        <v>22</v>
      </c>
      <c r="I233" s="2">
        <v>79728</v>
      </c>
    </row>
    <row r="234" spans="1:9">
      <c r="A234" s="1">
        <v>45827.234468937873</v>
      </c>
      <c r="B234" t="s">
        <v>10</v>
      </c>
      <c r="C234" t="s">
        <v>17</v>
      </c>
      <c r="D234">
        <v>159</v>
      </c>
      <c r="E234" s="2">
        <v>1189</v>
      </c>
      <c r="F234">
        <v>3</v>
      </c>
      <c r="G234" t="s">
        <v>20</v>
      </c>
      <c r="H234" t="s">
        <v>22</v>
      </c>
      <c r="I234" s="2">
        <v>189051</v>
      </c>
    </row>
    <row r="235" spans="1:9">
      <c r="A235" s="1">
        <v>45827.963927855708</v>
      </c>
      <c r="B235" t="s">
        <v>10</v>
      </c>
      <c r="C235" t="s">
        <v>17</v>
      </c>
      <c r="D235">
        <v>131</v>
      </c>
      <c r="E235" s="2">
        <v>1238</v>
      </c>
      <c r="F235">
        <v>2</v>
      </c>
      <c r="G235" t="s">
        <v>19</v>
      </c>
      <c r="H235" t="s">
        <v>22</v>
      </c>
      <c r="I235" s="2">
        <v>162178</v>
      </c>
    </row>
    <row r="236" spans="1:9">
      <c r="A236" s="1">
        <v>45828.693386773542</v>
      </c>
      <c r="B236" t="s">
        <v>10</v>
      </c>
      <c r="C236" t="s">
        <v>17</v>
      </c>
      <c r="D236">
        <v>57</v>
      </c>
      <c r="E236" s="2">
        <v>1426</v>
      </c>
      <c r="F236">
        <v>2</v>
      </c>
      <c r="G236" t="s">
        <v>20</v>
      </c>
      <c r="H236" t="s">
        <v>22</v>
      </c>
      <c r="I236" s="2">
        <v>81282</v>
      </c>
    </row>
    <row r="237" spans="1:9">
      <c r="A237" s="1">
        <v>45829.422845691377</v>
      </c>
      <c r="B237" t="s">
        <v>10</v>
      </c>
      <c r="C237" t="s">
        <v>17</v>
      </c>
      <c r="D237">
        <v>97</v>
      </c>
      <c r="E237" s="2">
        <v>1839</v>
      </c>
      <c r="F237">
        <v>4</v>
      </c>
      <c r="G237" t="s">
        <v>20</v>
      </c>
      <c r="H237" t="s">
        <v>22</v>
      </c>
      <c r="I237" s="2">
        <v>178383</v>
      </c>
    </row>
    <row r="238" spans="1:9">
      <c r="A238" s="1">
        <v>45830.152304609212</v>
      </c>
      <c r="B238" t="s">
        <v>15</v>
      </c>
      <c r="C238" t="s">
        <v>17</v>
      </c>
      <c r="D238">
        <v>177</v>
      </c>
      <c r="E238" s="2">
        <v>1538</v>
      </c>
      <c r="F238">
        <v>3</v>
      </c>
      <c r="G238" t="s">
        <v>21</v>
      </c>
      <c r="H238" t="s">
        <v>22</v>
      </c>
      <c r="I238" s="2">
        <v>272226</v>
      </c>
    </row>
    <row r="239" spans="1:9">
      <c r="A239" s="1">
        <v>45830.881763527053</v>
      </c>
      <c r="B239" t="s">
        <v>15</v>
      </c>
      <c r="C239" t="s">
        <v>18</v>
      </c>
      <c r="D239">
        <v>187</v>
      </c>
      <c r="E239" s="2">
        <v>852</v>
      </c>
      <c r="F239">
        <v>4</v>
      </c>
      <c r="G239" t="s">
        <v>20</v>
      </c>
      <c r="H239" t="s">
        <v>23</v>
      </c>
      <c r="I239" s="2">
        <v>159324</v>
      </c>
    </row>
    <row r="240" spans="1:9">
      <c r="A240" s="1">
        <v>45831.611222444881</v>
      </c>
      <c r="B240" t="s">
        <v>12</v>
      </c>
      <c r="C240" t="s">
        <v>17</v>
      </c>
      <c r="D240">
        <v>179</v>
      </c>
      <c r="E240" s="2">
        <v>1278</v>
      </c>
      <c r="F240">
        <v>1</v>
      </c>
      <c r="G240" t="s">
        <v>19</v>
      </c>
      <c r="H240" t="s">
        <v>22</v>
      </c>
      <c r="I240" s="2">
        <v>228762</v>
      </c>
    </row>
    <row r="241" spans="1:9">
      <c r="A241" s="1">
        <v>45832.340681362723</v>
      </c>
      <c r="B241" t="s">
        <v>13</v>
      </c>
      <c r="C241" t="s">
        <v>17</v>
      </c>
      <c r="D241">
        <v>87</v>
      </c>
      <c r="E241" s="2">
        <v>991</v>
      </c>
      <c r="F241">
        <v>1</v>
      </c>
      <c r="G241" t="s">
        <v>20</v>
      </c>
      <c r="H241" t="s">
        <v>22</v>
      </c>
      <c r="I241" s="2">
        <v>86217</v>
      </c>
    </row>
    <row r="242" spans="1:9">
      <c r="A242" s="1">
        <v>45833.070140280557</v>
      </c>
      <c r="B242" t="s">
        <v>14</v>
      </c>
      <c r="C242" t="s">
        <v>18</v>
      </c>
      <c r="D242">
        <v>138</v>
      </c>
      <c r="E242" s="2">
        <v>1225</v>
      </c>
      <c r="F242">
        <v>1</v>
      </c>
      <c r="G242" t="s">
        <v>21</v>
      </c>
      <c r="H242" t="s">
        <v>23</v>
      </c>
      <c r="I242" s="2">
        <v>169050</v>
      </c>
    </row>
    <row r="243" spans="1:9">
      <c r="A243" s="1">
        <v>45833.799599198392</v>
      </c>
      <c r="B243" t="s">
        <v>9</v>
      </c>
      <c r="C243" t="s">
        <v>17</v>
      </c>
      <c r="D243">
        <v>138</v>
      </c>
      <c r="E243" s="2">
        <v>1519</v>
      </c>
      <c r="F243">
        <v>3</v>
      </c>
      <c r="G243" t="s">
        <v>21</v>
      </c>
      <c r="H243" t="s">
        <v>22</v>
      </c>
      <c r="I243" s="2">
        <v>209622</v>
      </c>
    </row>
    <row r="244" spans="1:9">
      <c r="A244" s="1">
        <v>45834.529058116234</v>
      </c>
      <c r="B244" t="s">
        <v>10</v>
      </c>
      <c r="C244" t="s">
        <v>17</v>
      </c>
      <c r="D244">
        <v>73</v>
      </c>
      <c r="E244" s="2">
        <v>1173</v>
      </c>
      <c r="F244">
        <v>2</v>
      </c>
      <c r="G244" t="s">
        <v>19</v>
      </c>
      <c r="H244" t="s">
        <v>23</v>
      </c>
      <c r="I244" s="2">
        <v>85629</v>
      </c>
    </row>
    <row r="245" spans="1:9">
      <c r="A245" s="1">
        <v>45835.258517034061</v>
      </c>
      <c r="B245" t="s">
        <v>16</v>
      </c>
      <c r="C245" t="s">
        <v>17</v>
      </c>
      <c r="D245">
        <v>168</v>
      </c>
      <c r="E245" s="2">
        <v>995</v>
      </c>
      <c r="F245">
        <v>3</v>
      </c>
      <c r="G245" t="s">
        <v>21</v>
      </c>
      <c r="H245" t="s">
        <v>23</v>
      </c>
      <c r="I245" s="2">
        <v>167160</v>
      </c>
    </row>
    <row r="246" spans="1:9">
      <c r="A246" s="1">
        <v>45835.987975951903</v>
      </c>
      <c r="B246" t="s">
        <v>9</v>
      </c>
      <c r="C246" t="s">
        <v>17</v>
      </c>
      <c r="D246">
        <v>101</v>
      </c>
      <c r="E246" s="2">
        <v>1807</v>
      </c>
      <c r="F246">
        <v>3</v>
      </c>
      <c r="G246" t="s">
        <v>20</v>
      </c>
      <c r="H246" t="s">
        <v>22</v>
      </c>
      <c r="I246" s="2">
        <v>182507</v>
      </c>
    </row>
    <row r="247" spans="1:9">
      <c r="A247" s="1">
        <v>45836.717434869737</v>
      </c>
      <c r="B247" t="s">
        <v>15</v>
      </c>
      <c r="C247" t="s">
        <v>17</v>
      </c>
      <c r="D247">
        <v>169</v>
      </c>
      <c r="E247" s="2">
        <v>1142</v>
      </c>
      <c r="F247">
        <v>2</v>
      </c>
      <c r="G247" t="s">
        <v>21</v>
      </c>
      <c r="H247" t="s">
        <v>23</v>
      </c>
      <c r="I247" s="2">
        <v>192998</v>
      </c>
    </row>
    <row r="248" spans="1:9">
      <c r="A248" s="1">
        <v>45837.446893787572</v>
      </c>
      <c r="B248" t="s">
        <v>16</v>
      </c>
      <c r="C248" t="s">
        <v>17</v>
      </c>
      <c r="D248">
        <v>76</v>
      </c>
      <c r="E248" s="2">
        <v>1514</v>
      </c>
      <c r="F248">
        <v>4</v>
      </c>
      <c r="G248" t="s">
        <v>19</v>
      </c>
      <c r="H248" t="s">
        <v>22</v>
      </c>
      <c r="I248" s="2">
        <v>115064</v>
      </c>
    </row>
    <row r="249" spans="1:9">
      <c r="A249" s="1">
        <v>45838.176352705414</v>
      </c>
      <c r="B249" t="s">
        <v>16</v>
      </c>
      <c r="C249" t="s">
        <v>17</v>
      </c>
      <c r="D249">
        <v>49</v>
      </c>
      <c r="E249" s="2">
        <v>1281</v>
      </c>
      <c r="F249">
        <v>1</v>
      </c>
      <c r="G249" t="s">
        <v>21</v>
      </c>
      <c r="H249" t="s">
        <v>23</v>
      </c>
      <c r="I249" s="2">
        <v>62769</v>
      </c>
    </row>
    <row r="250" spans="1:9">
      <c r="A250" s="1">
        <v>45838.905811623241</v>
      </c>
      <c r="B250" t="s">
        <v>16</v>
      </c>
      <c r="C250" t="s">
        <v>17</v>
      </c>
      <c r="D250">
        <v>145</v>
      </c>
      <c r="E250" s="2">
        <v>1554</v>
      </c>
      <c r="F250">
        <v>4</v>
      </c>
      <c r="G250" t="s">
        <v>21</v>
      </c>
      <c r="H250" t="s">
        <v>23</v>
      </c>
      <c r="I250" s="2">
        <v>225330</v>
      </c>
    </row>
    <row r="251" spans="1:9">
      <c r="A251" s="1">
        <v>45839.635270541083</v>
      </c>
      <c r="B251" t="s">
        <v>12</v>
      </c>
      <c r="C251" t="s">
        <v>17</v>
      </c>
      <c r="D251">
        <v>191</v>
      </c>
      <c r="E251" s="2">
        <v>1798</v>
      </c>
      <c r="F251">
        <v>1</v>
      </c>
      <c r="G251" t="s">
        <v>21</v>
      </c>
      <c r="H251" t="s">
        <v>23</v>
      </c>
      <c r="I251" s="2">
        <v>343418</v>
      </c>
    </row>
    <row r="252" spans="1:9">
      <c r="A252" s="1">
        <v>45840.36472945891</v>
      </c>
      <c r="B252" t="s">
        <v>15</v>
      </c>
      <c r="C252" t="s">
        <v>17</v>
      </c>
      <c r="D252">
        <v>67</v>
      </c>
      <c r="E252" s="2">
        <v>1824</v>
      </c>
      <c r="F252">
        <v>3</v>
      </c>
      <c r="G252" t="s">
        <v>19</v>
      </c>
      <c r="H252" t="s">
        <v>22</v>
      </c>
      <c r="I252" s="2">
        <v>122208</v>
      </c>
    </row>
    <row r="253" spans="1:9">
      <c r="A253" s="1">
        <v>45841.094188376737</v>
      </c>
      <c r="B253" t="s">
        <v>16</v>
      </c>
      <c r="C253" t="s">
        <v>17</v>
      </c>
      <c r="D253">
        <v>189</v>
      </c>
      <c r="E253" s="2">
        <v>1434</v>
      </c>
      <c r="F253">
        <v>1</v>
      </c>
      <c r="G253" t="s">
        <v>21</v>
      </c>
      <c r="H253" t="s">
        <v>22</v>
      </c>
      <c r="I253" s="2">
        <v>271026</v>
      </c>
    </row>
    <row r="254" spans="1:9">
      <c r="A254" s="1">
        <v>45841.823647294586</v>
      </c>
      <c r="B254" t="s">
        <v>10</v>
      </c>
      <c r="C254" t="s">
        <v>17</v>
      </c>
      <c r="D254">
        <v>198</v>
      </c>
      <c r="E254" s="2">
        <v>1248</v>
      </c>
      <c r="F254">
        <v>3</v>
      </c>
      <c r="G254" t="s">
        <v>21</v>
      </c>
      <c r="H254" t="s">
        <v>23</v>
      </c>
      <c r="I254" s="2">
        <v>247104</v>
      </c>
    </row>
    <row r="255" spans="1:9">
      <c r="A255" s="1">
        <v>45842.553106212421</v>
      </c>
      <c r="B255" t="s">
        <v>11</v>
      </c>
      <c r="C255" t="s">
        <v>17</v>
      </c>
      <c r="D255">
        <v>191</v>
      </c>
      <c r="E255" s="2">
        <v>1666</v>
      </c>
      <c r="F255">
        <v>4</v>
      </c>
      <c r="G255" t="s">
        <v>20</v>
      </c>
      <c r="H255" t="s">
        <v>23</v>
      </c>
      <c r="I255" s="2">
        <v>318206</v>
      </c>
    </row>
    <row r="256" spans="1:9">
      <c r="A256" s="1">
        <v>45843.282565130263</v>
      </c>
      <c r="B256" t="s">
        <v>16</v>
      </c>
      <c r="C256" t="s">
        <v>18</v>
      </c>
      <c r="D256">
        <v>72</v>
      </c>
      <c r="E256" s="2">
        <v>1738</v>
      </c>
      <c r="F256">
        <v>3</v>
      </c>
      <c r="G256" t="s">
        <v>19</v>
      </c>
      <c r="H256" t="s">
        <v>22</v>
      </c>
      <c r="I256" s="2">
        <v>125136</v>
      </c>
    </row>
    <row r="257" spans="1:9">
      <c r="A257" s="1">
        <v>45844.01202404809</v>
      </c>
      <c r="B257" t="s">
        <v>12</v>
      </c>
      <c r="C257" t="s">
        <v>18</v>
      </c>
      <c r="D257">
        <v>131</v>
      </c>
      <c r="E257" s="2">
        <v>1193</v>
      </c>
      <c r="F257">
        <v>4</v>
      </c>
      <c r="G257" t="s">
        <v>21</v>
      </c>
      <c r="H257" t="s">
        <v>22</v>
      </c>
      <c r="I257" s="2">
        <v>156283</v>
      </c>
    </row>
    <row r="258" spans="1:9">
      <c r="A258" s="1">
        <v>45844.741482965917</v>
      </c>
      <c r="B258" t="s">
        <v>9</v>
      </c>
      <c r="C258" t="s">
        <v>17</v>
      </c>
      <c r="D258">
        <v>189</v>
      </c>
      <c r="E258" s="2">
        <v>1813</v>
      </c>
      <c r="F258">
        <v>2</v>
      </c>
      <c r="G258" t="s">
        <v>19</v>
      </c>
      <c r="H258" t="s">
        <v>23</v>
      </c>
      <c r="I258" s="2">
        <v>342657</v>
      </c>
    </row>
    <row r="259" spans="1:9">
      <c r="A259" s="1">
        <v>45845.470941883759</v>
      </c>
      <c r="B259" t="s">
        <v>15</v>
      </c>
      <c r="C259" t="s">
        <v>18</v>
      </c>
      <c r="D259">
        <v>67</v>
      </c>
      <c r="E259" s="2">
        <v>989</v>
      </c>
      <c r="F259">
        <v>2</v>
      </c>
      <c r="G259" t="s">
        <v>21</v>
      </c>
      <c r="H259" t="s">
        <v>23</v>
      </c>
      <c r="I259" s="2">
        <v>66263</v>
      </c>
    </row>
    <row r="260" spans="1:9">
      <c r="A260" s="1">
        <v>45846.200400801587</v>
      </c>
      <c r="B260" t="s">
        <v>13</v>
      </c>
      <c r="C260" t="s">
        <v>17</v>
      </c>
      <c r="D260">
        <v>120</v>
      </c>
      <c r="E260" s="2">
        <v>1036</v>
      </c>
      <c r="F260">
        <v>2</v>
      </c>
      <c r="G260" t="s">
        <v>21</v>
      </c>
      <c r="H260" t="s">
        <v>22</v>
      </c>
      <c r="I260" s="2">
        <v>124320</v>
      </c>
    </row>
    <row r="261" spans="1:9">
      <c r="A261" s="1">
        <v>45846.929859719443</v>
      </c>
      <c r="B261" t="s">
        <v>12</v>
      </c>
      <c r="C261" t="s">
        <v>18</v>
      </c>
      <c r="D261">
        <v>100</v>
      </c>
      <c r="E261" s="2">
        <v>1654</v>
      </c>
      <c r="F261">
        <v>3</v>
      </c>
      <c r="G261" t="s">
        <v>21</v>
      </c>
      <c r="H261" t="s">
        <v>22</v>
      </c>
      <c r="I261" s="2">
        <v>165400</v>
      </c>
    </row>
    <row r="262" spans="1:9">
      <c r="A262" s="1">
        <v>45847.65931863727</v>
      </c>
      <c r="B262" t="s">
        <v>16</v>
      </c>
      <c r="C262" t="s">
        <v>17</v>
      </c>
      <c r="D262">
        <v>44</v>
      </c>
      <c r="E262" s="2">
        <v>910</v>
      </c>
      <c r="F262">
        <v>2</v>
      </c>
      <c r="G262" t="s">
        <v>20</v>
      </c>
      <c r="H262" t="s">
        <v>22</v>
      </c>
      <c r="I262" s="2">
        <v>40040</v>
      </c>
    </row>
    <row r="263" spans="1:9">
      <c r="A263" s="1">
        <v>45848.388777555097</v>
      </c>
      <c r="B263" t="s">
        <v>15</v>
      </c>
      <c r="C263" t="s">
        <v>17</v>
      </c>
      <c r="D263">
        <v>39</v>
      </c>
      <c r="E263" s="2">
        <v>1846</v>
      </c>
      <c r="F263">
        <v>1</v>
      </c>
      <c r="G263" t="s">
        <v>20</v>
      </c>
      <c r="H263" t="s">
        <v>22</v>
      </c>
      <c r="I263" s="2">
        <v>71994</v>
      </c>
    </row>
    <row r="264" spans="1:9">
      <c r="A264" s="1">
        <v>45849.118236472939</v>
      </c>
      <c r="B264" t="s">
        <v>11</v>
      </c>
      <c r="C264" t="s">
        <v>17</v>
      </c>
      <c r="D264">
        <v>157</v>
      </c>
      <c r="E264" s="2">
        <v>1788</v>
      </c>
      <c r="F264">
        <v>4</v>
      </c>
      <c r="G264" t="s">
        <v>20</v>
      </c>
      <c r="H264" t="s">
        <v>22</v>
      </c>
      <c r="I264" s="2">
        <v>280716</v>
      </c>
    </row>
    <row r="265" spans="1:9">
      <c r="A265" s="1">
        <v>45849.847695390767</v>
      </c>
      <c r="B265" t="s">
        <v>16</v>
      </c>
      <c r="C265" t="s">
        <v>17</v>
      </c>
      <c r="D265">
        <v>108</v>
      </c>
      <c r="E265" s="2">
        <v>1229</v>
      </c>
      <c r="F265">
        <v>4</v>
      </c>
      <c r="G265" t="s">
        <v>19</v>
      </c>
      <c r="H265" t="s">
        <v>23</v>
      </c>
      <c r="I265" s="2">
        <v>132732</v>
      </c>
    </row>
    <row r="266" spans="1:9">
      <c r="A266" s="1">
        <v>45850.577154308608</v>
      </c>
      <c r="B266" t="s">
        <v>12</v>
      </c>
      <c r="C266" t="s">
        <v>17</v>
      </c>
      <c r="D266">
        <v>131</v>
      </c>
      <c r="E266" s="2">
        <v>1559</v>
      </c>
      <c r="F266">
        <v>1</v>
      </c>
      <c r="G266" t="s">
        <v>19</v>
      </c>
      <c r="H266" t="s">
        <v>22</v>
      </c>
      <c r="I266" s="2">
        <v>204229</v>
      </c>
    </row>
    <row r="267" spans="1:9">
      <c r="A267" s="1">
        <v>45851.30661322645</v>
      </c>
      <c r="B267" t="s">
        <v>14</v>
      </c>
      <c r="C267" t="s">
        <v>17</v>
      </c>
      <c r="D267">
        <v>152</v>
      </c>
      <c r="E267" s="2">
        <v>1656</v>
      </c>
      <c r="F267">
        <v>3</v>
      </c>
      <c r="G267" t="s">
        <v>20</v>
      </c>
      <c r="H267" t="s">
        <v>23</v>
      </c>
      <c r="I267" s="2">
        <v>251712</v>
      </c>
    </row>
    <row r="268" spans="1:9">
      <c r="A268" s="1">
        <v>45852.036072144278</v>
      </c>
      <c r="B268" t="s">
        <v>10</v>
      </c>
      <c r="C268" t="s">
        <v>18</v>
      </c>
      <c r="D268">
        <v>72</v>
      </c>
      <c r="E268" s="2">
        <v>1289</v>
      </c>
      <c r="F268">
        <v>3</v>
      </c>
      <c r="G268" t="s">
        <v>19</v>
      </c>
      <c r="H268" t="s">
        <v>22</v>
      </c>
      <c r="I268" s="2">
        <v>92808</v>
      </c>
    </row>
    <row r="269" spans="1:9">
      <c r="A269" s="1">
        <v>45852.765531062119</v>
      </c>
      <c r="B269" t="s">
        <v>13</v>
      </c>
      <c r="C269" t="s">
        <v>17</v>
      </c>
      <c r="D269">
        <v>175</v>
      </c>
      <c r="E269" s="2">
        <v>1168</v>
      </c>
      <c r="F269">
        <v>4</v>
      </c>
      <c r="G269" t="s">
        <v>21</v>
      </c>
      <c r="H269" t="s">
        <v>23</v>
      </c>
      <c r="I269" s="2">
        <v>204400</v>
      </c>
    </row>
    <row r="270" spans="1:9">
      <c r="A270" s="1">
        <v>45853.494989979947</v>
      </c>
      <c r="B270" t="s">
        <v>9</v>
      </c>
      <c r="C270" t="s">
        <v>17</v>
      </c>
      <c r="D270">
        <v>193</v>
      </c>
      <c r="E270" s="2">
        <v>1151</v>
      </c>
      <c r="F270">
        <v>2</v>
      </c>
      <c r="G270" t="s">
        <v>21</v>
      </c>
      <c r="H270" t="s">
        <v>22</v>
      </c>
      <c r="I270" s="2">
        <v>222143</v>
      </c>
    </row>
    <row r="271" spans="1:9">
      <c r="A271" s="1">
        <v>45854.224448897789</v>
      </c>
      <c r="B271" t="s">
        <v>12</v>
      </c>
      <c r="C271" t="s">
        <v>18</v>
      </c>
      <c r="D271">
        <v>81</v>
      </c>
      <c r="E271" s="2">
        <v>1193</v>
      </c>
      <c r="F271">
        <v>3</v>
      </c>
      <c r="G271" t="s">
        <v>21</v>
      </c>
      <c r="H271" t="s">
        <v>22</v>
      </c>
      <c r="I271" s="2">
        <v>96633</v>
      </c>
    </row>
    <row r="272" spans="1:9">
      <c r="A272" s="1">
        <v>45854.953907815623</v>
      </c>
      <c r="B272" t="s">
        <v>15</v>
      </c>
      <c r="C272" t="s">
        <v>18</v>
      </c>
      <c r="D272">
        <v>143</v>
      </c>
      <c r="E272" s="2">
        <v>860</v>
      </c>
      <c r="F272">
        <v>3</v>
      </c>
      <c r="G272" t="s">
        <v>20</v>
      </c>
      <c r="H272" t="s">
        <v>23</v>
      </c>
      <c r="I272" s="2">
        <v>122980</v>
      </c>
    </row>
    <row r="273" spans="1:9">
      <c r="A273" s="1">
        <v>45855.683366733458</v>
      </c>
      <c r="B273" t="s">
        <v>13</v>
      </c>
      <c r="C273" t="s">
        <v>17</v>
      </c>
      <c r="D273">
        <v>49</v>
      </c>
      <c r="E273" s="2">
        <v>911</v>
      </c>
      <c r="F273">
        <v>1</v>
      </c>
      <c r="G273" t="s">
        <v>19</v>
      </c>
      <c r="H273" t="s">
        <v>23</v>
      </c>
      <c r="I273" s="2">
        <v>44639</v>
      </c>
    </row>
    <row r="274" spans="1:9">
      <c r="A274" s="1">
        <v>45856.412825651299</v>
      </c>
      <c r="B274" t="s">
        <v>13</v>
      </c>
      <c r="C274" t="s">
        <v>17</v>
      </c>
      <c r="D274">
        <v>191</v>
      </c>
      <c r="E274" s="2">
        <v>1694</v>
      </c>
      <c r="F274">
        <v>1</v>
      </c>
      <c r="G274" t="s">
        <v>20</v>
      </c>
      <c r="H274" t="s">
        <v>22</v>
      </c>
      <c r="I274" s="2">
        <v>323554</v>
      </c>
    </row>
    <row r="275" spans="1:9">
      <c r="A275" s="1">
        <v>45857.142284569127</v>
      </c>
      <c r="B275" t="s">
        <v>13</v>
      </c>
      <c r="C275" t="s">
        <v>18</v>
      </c>
      <c r="D275">
        <v>170</v>
      </c>
      <c r="E275" s="2">
        <v>1075</v>
      </c>
      <c r="F275">
        <v>2</v>
      </c>
      <c r="G275" t="s">
        <v>19</v>
      </c>
      <c r="H275" t="s">
        <v>22</v>
      </c>
      <c r="I275" s="2">
        <v>182750</v>
      </c>
    </row>
    <row r="276" spans="1:9">
      <c r="A276" s="1">
        <v>45857.871743486969</v>
      </c>
      <c r="B276" t="s">
        <v>16</v>
      </c>
      <c r="C276" t="s">
        <v>17</v>
      </c>
      <c r="D276">
        <v>39</v>
      </c>
      <c r="E276" s="2">
        <v>1002</v>
      </c>
      <c r="F276">
        <v>3</v>
      </c>
      <c r="G276" t="s">
        <v>21</v>
      </c>
      <c r="H276" t="s">
        <v>22</v>
      </c>
      <c r="I276" s="2">
        <v>39078</v>
      </c>
    </row>
    <row r="277" spans="1:9">
      <c r="A277" s="1">
        <v>45858.601202404803</v>
      </c>
      <c r="B277" t="s">
        <v>10</v>
      </c>
      <c r="C277" t="s">
        <v>18</v>
      </c>
      <c r="D277">
        <v>191</v>
      </c>
      <c r="E277" s="2">
        <v>1560</v>
      </c>
      <c r="F277">
        <v>3</v>
      </c>
      <c r="G277" t="s">
        <v>20</v>
      </c>
      <c r="H277" t="s">
        <v>22</v>
      </c>
      <c r="I277" s="2">
        <v>297960</v>
      </c>
    </row>
    <row r="278" spans="1:9">
      <c r="A278" s="1">
        <v>45859.330661322638</v>
      </c>
      <c r="B278" t="s">
        <v>16</v>
      </c>
      <c r="C278" t="s">
        <v>17</v>
      </c>
      <c r="D278">
        <v>81</v>
      </c>
      <c r="E278" s="2">
        <v>1413</v>
      </c>
      <c r="F278">
        <v>1</v>
      </c>
      <c r="G278" t="s">
        <v>19</v>
      </c>
      <c r="H278" t="s">
        <v>22</v>
      </c>
      <c r="I278" s="2">
        <v>114453</v>
      </c>
    </row>
    <row r="279" spans="1:9">
      <c r="A279" s="1">
        <v>45860.060120240472</v>
      </c>
      <c r="B279" t="s">
        <v>15</v>
      </c>
      <c r="C279" t="s">
        <v>18</v>
      </c>
      <c r="D279">
        <v>102</v>
      </c>
      <c r="E279" s="2">
        <v>1621</v>
      </c>
      <c r="F279">
        <v>3</v>
      </c>
      <c r="G279" t="s">
        <v>19</v>
      </c>
      <c r="H279" t="s">
        <v>23</v>
      </c>
      <c r="I279" s="2">
        <v>165342</v>
      </c>
    </row>
    <row r="280" spans="1:9">
      <c r="A280" s="1">
        <v>45860.789579158307</v>
      </c>
      <c r="B280" t="s">
        <v>16</v>
      </c>
      <c r="C280" t="s">
        <v>17</v>
      </c>
      <c r="D280">
        <v>110</v>
      </c>
      <c r="E280" s="2">
        <v>1420</v>
      </c>
      <c r="F280">
        <v>4</v>
      </c>
      <c r="G280" t="s">
        <v>21</v>
      </c>
      <c r="H280" t="s">
        <v>23</v>
      </c>
      <c r="I280" s="2">
        <v>156200</v>
      </c>
    </row>
    <row r="281" spans="1:9">
      <c r="A281" s="1">
        <v>45861.519038076149</v>
      </c>
      <c r="B281" t="s">
        <v>14</v>
      </c>
      <c r="C281" t="s">
        <v>18</v>
      </c>
      <c r="D281">
        <v>164</v>
      </c>
      <c r="E281" s="2">
        <v>1433</v>
      </c>
      <c r="F281">
        <v>1</v>
      </c>
      <c r="G281" t="s">
        <v>20</v>
      </c>
      <c r="H281" t="s">
        <v>22</v>
      </c>
      <c r="I281" s="2">
        <v>235012</v>
      </c>
    </row>
    <row r="282" spans="1:9">
      <c r="A282" s="1">
        <v>45862.248496993983</v>
      </c>
      <c r="B282" t="s">
        <v>10</v>
      </c>
      <c r="C282" t="s">
        <v>17</v>
      </c>
      <c r="D282">
        <v>189</v>
      </c>
      <c r="E282" s="2">
        <v>1509</v>
      </c>
      <c r="F282">
        <v>2</v>
      </c>
      <c r="G282" t="s">
        <v>20</v>
      </c>
      <c r="H282" t="s">
        <v>23</v>
      </c>
      <c r="I282" s="2">
        <v>285201</v>
      </c>
    </row>
    <row r="283" spans="1:9">
      <c r="A283" s="1">
        <v>45862.977955911818</v>
      </c>
      <c r="B283" t="s">
        <v>10</v>
      </c>
      <c r="C283" t="s">
        <v>18</v>
      </c>
      <c r="D283">
        <v>129</v>
      </c>
      <c r="E283" s="2">
        <v>1710</v>
      </c>
      <c r="F283">
        <v>1</v>
      </c>
      <c r="G283" t="s">
        <v>20</v>
      </c>
      <c r="H283" t="s">
        <v>23</v>
      </c>
      <c r="I283" s="2">
        <v>220590</v>
      </c>
    </row>
    <row r="284" spans="1:9">
      <c r="A284" s="1">
        <v>45863.707414829652</v>
      </c>
      <c r="B284" t="s">
        <v>15</v>
      </c>
      <c r="C284" t="s">
        <v>18</v>
      </c>
      <c r="D284">
        <v>149</v>
      </c>
      <c r="E284" s="2">
        <v>1424</v>
      </c>
      <c r="F284">
        <v>3</v>
      </c>
      <c r="G284" t="s">
        <v>21</v>
      </c>
      <c r="H284" t="s">
        <v>23</v>
      </c>
      <c r="I284" s="2">
        <v>212176</v>
      </c>
    </row>
    <row r="285" spans="1:9">
      <c r="A285" s="1">
        <v>45864.436873747487</v>
      </c>
      <c r="B285" t="s">
        <v>9</v>
      </c>
      <c r="C285" t="s">
        <v>17</v>
      </c>
      <c r="D285">
        <v>198</v>
      </c>
      <c r="E285" s="2">
        <v>1159</v>
      </c>
      <c r="F285">
        <v>2</v>
      </c>
      <c r="G285" t="s">
        <v>20</v>
      </c>
      <c r="H285" t="s">
        <v>22</v>
      </c>
      <c r="I285" s="2">
        <v>229482</v>
      </c>
    </row>
    <row r="286" spans="1:9">
      <c r="A286" s="1">
        <v>45865.166332665322</v>
      </c>
      <c r="B286" t="s">
        <v>14</v>
      </c>
      <c r="C286" t="s">
        <v>17</v>
      </c>
      <c r="D286">
        <v>70</v>
      </c>
      <c r="E286" s="2">
        <v>1734</v>
      </c>
      <c r="F286">
        <v>1</v>
      </c>
      <c r="G286" t="s">
        <v>21</v>
      </c>
      <c r="H286" t="s">
        <v>23</v>
      </c>
      <c r="I286" s="2">
        <v>121380</v>
      </c>
    </row>
    <row r="287" spans="1:9">
      <c r="A287" s="1">
        <v>45865.895791583163</v>
      </c>
      <c r="B287" t="s">
        <v>12</v>
      </c>
      <c r="C287" t="s">
        <v>17</v>
      </c>
      <c r="D287">
        <v>60</v>
      </c>
      <c r="E287" s="2">
        <v>1092</v>
      </c>
      <c r="F287">
        <v>4</v>
      </c>
      <c r="G287" t="s">
        <v>21</v>
      </c>
      <c r="H287" t="s">
        <v>22</v>
      </c>
      <c r="I287" s="2">
        <v>65520</v>
      </c>
    </row>
    <row r="288" spans="1:9">
      <c r="A288" s="1">
        <v>45866.625250500998</v>
      </c>
      <c r="B288" t="s">
        <v>16</v>
      </c>
      <c r="C288" t="s">
        <v>18</v>
      </c>
      <c r="D288">
        <v>77</v>
      </c>
      <c r="E288" s="2">
        <v>1342</v>
      </c>
      <c r="F288">
        <v>4</v>
      </c>
      <c r="G288" t="s">
        <v>21</v>
      </c>
      <c r="H288" t="s">
        <v>23</v>
      </c>
      <c r="I288" s="2">
        <v>103334</v>
      </c>
    </row>
    <row r="289" spans="1:9">
      <c r="A289" s="1">
        <v>45867.354709418832</v>
      </c>
      <c r="B289" t="s">
        <v>11</v>
      </c>
      <c r="C289" t="s">
        <v>17</v>
      </c>
      <c r="D289">
        <v>61</v>
      </c>
      <c r="E289" s="2">
        <v>1215</v>
      </c>
      <c r="F289">
        <v>1</v>
      </c>
      <c r="G289" t="s">
        <v>19</v>
      </c>
      <c r="H289" t="s">
        <v>22</v>
      </c>
      <c r="I289" s="2">
        <v>74115</v>
      </c>
    </row>
    <row r="290" spans="1:9">
      <c r="A290" s="1">
        <v>45868.084168336667</v>
      </c>
      <c r="B290" t="s">
        <v>16</v>
      </c>
      <c r="C290" t="s">
        <v>17</v>
      </c>
      <c r="D290">
        <v>103</v>
      </c>
      <c r="E290" s="2">
        <v>1179</v>
      </c>
      <c r="F290">
        <v>4</v>
      </c>
      <c r="G290" t="s">
        <v>20</v>
      </c>
      <c r="H290" t="s">
        <v>23</v>
      </c>
      <c r="I290" s="2">
        <v>121437</v>
      </c>
    </row>
    <row r="291" spans="1:9">
      <c r="A291" s="1">
        <v>45868.813627254502</v>
      </c>
      <c r="B291" t="s">
        <v>13</v>
      </c>
      <c r="C291" t="s">
        <v>17</v>
      </c>
      <c r="D291">
        <v>182</v>
      </c>
      <c r="E291" s="2">
        <v>956</v>
      </c>
      <c r="F291">
        <v>4</v>
      </c>
      <c r="G291" t="s">
        <v>20</v>
      </c>
      <c r="H291" t="s">
        <v>22</v>
      </c>
      <c r="I291" s="2">
        <v>173992</v>
      </c>
    </row>
    <row r="292" spans="1:9">
      <c r="A292" s="1">
        <v>45869.543086172343</v>
      </c>
      <c r="B292" t="s">
        <v>16</v>
      </c>
      <c r="C292" t="s">
        <v>18</v>
      </c>
      <c r="D292">
        <v>45</v>
      </c>
      <c r="E292" s="2">
        <v>1075</v>
      </c>
      <c r="F292">
        <v>4</v>
      </c>
      <c r="G292" t="s">
        <v>21</v>
      </c>
      <c r="H292" t="s">
        <v>22</v>
      </c>
      <c r="I292" s="2">
        <v>48375</v>
      </c>
    </row>
    <row r="293" spans="1:9">
      <c r="A293" s="1">
        <v>45870.272545090171</v>
      </c>
      <c r="B293" t="s">
        <v>12</v>
      </c>
      <c r="C293" t="s">
        <v>17</v>
      </c>
      <c r="D293">
        <v>108</v>
      </c>
      <c r="E293" s="2">
        <v>1674</v>
      </c>
      <c r="F293">
        <v>2</v>
      </c>
      <c r="G293" t="s">
        <v>21</v>
      </c>
      <c r="H293" t="s">
        <v>23</v>
      </c>
      <c r="I293" s="2">
        <v>180792</v>
      </c>
    </row>
    <row r="294" spans="1:9">
      <c r="A294" s="1">
        <v>45871.002004008013</v>
      </c>
      <c r="B294" t="s">
        <v>16</v>
      </c>
      <c r="C294" t="s">
        <v>17</v>
      </c>
      <c r="D294">
        <v>138</v>
      </c>
      <c r="E294" s="2">
        <v>1067</v>
      </c>
      <c r="F294">
        <v>4</v>
      </c>
      <c r="G294" t="s">
        <v>20</v>
      </c>
      <c r="H294" t="s">
        <v>22</v>
      </c>
      <c r="I294" s="2">
        <v>147246</v>
      </c>
    </row>
    <row r="295" spans="1:9">
      <c r="A295" s="1">
        <v>45871.731462925847</v>
      </c>
      <c r="B295" t="s">
        <v>14</v>
      </c>
      <c r="C295" t="s">
        <v>17</v>
      </c>
      <c r="D295">
        <v>72</v>
      </c>
      <c r="E295" s="2">
        <v>1786</v>
      </c>
      <c r="F295">
        <v>4</v>
      </c>
      <c r="G295" t="s">
        <v>21</v>
      </c>
      <c r="H295" t="s">
        <v>22</v>
      </c>
      <c r="I295" s="2">
        <v>128592</v>
      </c>
    </row>
    <row r="296" spans="1:9">
      <c r="A296" s="1">
        <v>45872.460921843682</v>
      </c>
      <c r="B296" t="s">
        <v>14</v>
      </c>
      <c r="C296" t="s">
        <v>17</v>
      </c>
      <c r="D296">
        <v>168</v>
      </c>
      <c r="E296" s="2">
        <v>1602</v>
      </c>
      <c r="F296">
        <v>4</v>
      </c>
      <c r="G296" t="s">
        <v>20</v>
      </c>
      <c r="H296" t="s">
        <v>22</v>
      </c>
      <c r="I296" s="2">
        <v>269136</v>
      </c>
    </row>
    <row r="297" spans="1:9">
      <c r="A297" s="1">
        <v>45873.190380761524</v>
      </c>
      <c r="B297" t="s">
        <v>10</v>
      </c>
      <c r="C297" t="s">
        <v>17</v>
      </c>
      <c r="D297">
        <v>57</v>
      </c>
      <c r="E297" s="2">
        <v>1355</v>
      </c>
      <c r="F297">
        <v>2</v>
      </c>
      <c r="G297" t="s">
        <v>19</v>
      </c>
      <c r="H297" t="s">
        <v>22</v>
      </c>
      <c r="I297" s="2">
        <v>77235</v>
      </c>
    </row>
    <row r="298" spans="1:9">
      <c r="A298" s="1">
        <v>45873.919839679351</v>
      </c>
      <c r="B298" t="s">
        <v>15</v>
      </c>
      <c r="C298" t="s">
        <v>18</v>
      </c>
      <c r="D298">
        <v>81</v>
      </c>
      <c r="E298" s="2">
        <v>1108</v>
      </c>
      <c r="F298">
        <v>1</v>
      </c>
      <c r="G298" t="s">
        <v>21</v>
      </c>
      <c r="H298" t="s">
        <v>22</v>
      </c>
      <c r="I298" s="2">
        <v>89748</v>
      </c>
    </row>
    <row r="299" spans="1:9">
      <c r="A299" s="1">
        <v>45874.649298597193</v>
      </c>
      <c r="B299" t="s">
        <v>9</v>
      </c>
      <c r="C299" t="s">
        <v>17</v>
      </c>
      <c r="D299">
        <v>124</v>
      </c>
      <c r="E299" s="2">
        <v>1737</v>
      </c>
      <c r="F299">
        <v>3</v>
      </c>
      <c r="G299" t="s">
        <v>20</v>
      </c>
      <c r="H299" t="s">
        <v>22</v>
      </c>
      <c r="I299" s="2">
        <v>215388</v>
      </c>
    </row>
    <row r="300" spans="1:9">
      <c r="A300" s="1">
        <v>45875.37875751502</v>
      </c>
      <c r="B300" t="s">
        <v>11</v>
      </c>
      <c r="C300" t="s">
        <v>17</v>
      </c>
      <c r="D300">
        <v>80</v>
      </c>
      <c r="E300" s="2">
        <v>1623</v>
      </c>
      <c r="F300">
        <v>4</v>
      </c>
      <c r="G300" t="s">
        <v>21</v>
      </c>
      <c r="H300" t="s">
        <v>22</v>
      </c>
      <c r="I300" s="2">
        <v>129840</v>
      </c>
    </row>
    <row r="301" spans="1:9">
      <c r="A301" s="1">
        <v>45876.108216432862</v>
      </c>
      <c r="B301" t="s">
        <v>13</v>
      </c>
      <c r="C301" t="s">
        <v>17</v>
      </c>
      <c r="D301">
        <v>141</v>
      </c>
      <c r="E301" s="2">
        <v>1366</v>
      </c>
      <c r="F301">
        <v>1</v>
      </c>
      <c r="G301" t="s">
        <v>20</v>
      </c>
      <c r="H301" t="s">
        <v>22</v>
      </c>
      <c r="I301" s="2">
        <v>192606</v>
      </c>
    </row>
    <row r="302" spans="1:9">
      <c r="A302" s="1">
        <v>45876.837675350696</v>
      </c>
      <c r="B302" t="s">
        <v>16</v>
      </c>
      <c r="C302" t="s">
        <v>18</v>
      </c>
      <c r="D302">
        <v>174</v>
      </c>
      <c r="E302" s="2">
        <v>1622</v>
      </c>
      <c r="F302">
        <v>4</v>
      </c>
      <c r="G302" t="s">
        <v>20</v>
      </c>
      <c r="H302" t="s">
        <v>23</v>
      </c>
      <c r="I302" s="2">
        <v>282228</v>
      </c>
    </row>
    <row r="303" spans="1:9">
      <c r="A303" s="1">
        <v>45877.567134268531</v>
      </c>
      <c r="B303" t="s">
        <v>16</v>
      </c>
      <c r="C303" t="s">
        <v>17</v>
      </c>
      <c r="D303">
        <v>175</v>
      </c>
      <c r="E303" s="2">
        <v>903</v>
      </c>
      <c r="F303">
        <v>2</v>
      </c>
      <c r="G303" t="s">
        <v>21</v>
      </c>
      <c r="H303" t="s">
        <v>23</v>
      </c>
      <c r="I303" s="2">
        <v>158025</v>
      </c>
    </row>
    <row r="304" spans="1:9">
      <c r="A304" s="1">
        <v>45878.296593186373</v>
      </c>
      <c r="B304" t="s">
        <v>12</v>
      </c>
      <c r="C304" t="s">
        <v>17</v>
      </c>
      <c r="D304">
        <v>138</v>
      </c>
      <c r="E304" s="2">
        <v>896</v>
      </c>
      <c r="F304">
        <v>1</v>
      </c>
      <c r="G304" t="s">
        <v>19</v>
      </c>
      <c r="H304" t="s">
        <v>22</v>
      </c>
      <c r="I304" s="2">
        <v>123648</v>
      </c>
    </row>
    <row r="305" spans="1:9">
      <c r="A305" s="1">
        <v>45879.0260521042</v>
      </c>
      <c r="B305" t="s">
        <v>15</v>
      </c>
      <c r="C305" t="s">
        <v>18</v>
      </c>
      <c r="D305">
        <v>145</v>
      </c>
      <c r="E305" s="2">
        <v>1576</v>
      </c>
      <c r="F305">
        <v>2</v>
      </c>
      <c r="G305" t="s">
        <v>20</v>
      </c>
      <c r="H305" t="s">
        <v>22</v>
      </c>
      <c r="I305" s="2">
        <v>228520</v>
      </c>
    </row>
    <row r="306" spans="1:9">
      <c r="A306" s="1">
        <v>45879.755511022027</v>
      </c>
      <c r="B306" t="s">
        <v>14</v>
      </c>
      <c r="C306" t="s">
        <v>18</v>
      </c>
      <c r="D306">
        <v>138</v>
      </c>
      <c r="E306" s="2">
        <v>1538</v>
      </c>
      <c r="F306">
        <v>4</v>
      </c>
      <c r="G306" t="s">
        <v>20</v>
      </c>
      <c r="H306" t="s">
        <v>23</v>
      </c>
      <c r="I306" s="2">
        <v>212244</v>
      </c>
    </row>
    <row r="307" spans="1:9">
      <c r="A307" s="1">
        <v>45880.484969939869</v>
      </c>
      <c r="B307" t="s">
        <v>11</v>
      </c>
      <c r="C307" t="s">
        <v>17</v>
      </c>
      <c r="D307">
        <v>94</v>
      </c>
      <c r="E307" s="2">
        <v>1370</v>
      </c>
      <c r="F307">
        <v>4</v>
      </c>
      <c r="G307" t="s">
        <v>20</v>
      </c>
      <c r="H307" t="s">
        <v>23</v>
      </c>
      <c r="I307" s="2">
        <v>128780</v>
      </c>
    </row>
    <row r="308" spans="1:9">
      <c r="A308" s="1">
        <v>45881.214428857711</v>
      </c>
      <c r="B308" t="s">
        <v>10</v>
      </c>
      <c r="C308" t="s">
        <v>17</v>
      </c>
      <c r="D308">
        <v>134</v>
      </c>
      <c r="E308" s="2">
        <v>948</v>
      </c>
      <c r="F308">
        <v>2</v>
      </c>
      <c r="G308" t="s">
        <v>19</v>
      </c>
      <c r="H308" t="s">
        <v>23</v>
      </c>
      <c r="I308" s="2">
        <v>127032</v>
      </c>
    </row>
    <row r="309" spans="1:9">
      <c r="A309" s="1">
        <v>45881.943887775553</v>
      </c>
      <c r="B309" t="s">
        <v>14</v>
      </c>
      <c r="C309" t="s">
        <v>18</v>
      </c>
      <c r="D309">
        <v>102</v>
      </c>
      <c r="E309" s="2">
        <v>869</v>
      </c>
      <c r="F309">
        <v>3</v>
      </c>
      <c r="G309" t="s">
        <v>19</v>
      </c>
      <c r="H309" t="s">
        <v>22</v>
      </c>
      <c r="I309" s="2">
        <v>88638</v>
      </c>
    </row>
    <row r="310" spans="1:9">
      <c r="A310" s="1">
        <v>45882.67334669338</v>
      </c>
      <c r="B310" t="s">
        <v>13</v>
      </c>
      <c r="C310" t="s">
        <v>17</v>
      </c>
      <c r="D310">
        <v>167</v>
      </c>
      <c r="E310" s="2">
        <v>1739</v>
      </c>
      <c r="F310">
        <v>2</v>
      </c>
      <c r="G310" t="s">
        <v>21</v>
      </c>
      <c r="H310" t="s">
        <v>23</v>
      </c>
      <c r="I310" s="2">
        <v>290413</v>
      </c>
    </row>
    <row r="311" spans="1:9">
      <c r="A311" s="1">
        <v>45883.402805611207</v>
      </c>
      <c r="B311" t="s">
        <v>15</v>
      </c>
      <c r="C311" t="s">
        <v>17</v>
      </c>
      <c r="D311">
        <v>154</v>
      </c>
      <c r="E311" s="2">
        <v>1602</v>
      </c>
      <c r="F311">
        <v>4</v>
      </c>
      <c r="G311" t="s">
        <v>19</v>
      </c>
      <c r="H311" t="s">
        <v>22</v>
      </c>
      <c r="I311" s="2">
        <v>246708</v>
      </c>
    </row>
    <row r="312" spans="1:9">
      <c r="A312" s="1">
        <v>45884.132264529049</v>
      </c>
      <c r="B312" t="s">
        <v>13</v>
      </c>
      <c r="C312" t="s">
        <v>17</v>
      </c>
      <c r="D312">
        <v>71</v>
      </c>
      <c r="E312" s="2">
        <v>1422</v>
      </c>
      <c r="F312">
        <v>2</v>
      </c>
      <c r="G312" t="s">
        <v>21</v>
      </c>
      <c r="H312" t="s">
        <v>22</v>
      </c>
      <c r="I312" s="2">
        <v>100962</v>
      </c>
    </row>
    <row r="313" spans="1:9">
      <c r="A313" s="1">
        <v>45884.861723446877</v>
      </c>
      <c r="B313" t="s">
        <v>9</v>
      </c>
      <c r="C313" t="s">
        <v>18</v>
      </c>
      <c r="D313">
        <v>106</v>
      </c>
      <c r="E313" s="2">
        <v>1740</v>
      </c>
      <c r="F313">
        <v>3</v>
      </c>
      <c r="G313" t="s">
        <v>21</v>
      </c>
      <c r="H313" t="s">
        <v>23</v>
      </c>
      <c r="I313" s="2">
        <v>184440</v>
      </c>
    </row>
    <row r="314" spans="1:9">
      <c r="A314" s="1">
        <v>45885.591182364733</v>
      </c>
      <c r="B314" t="s">
        <v>10</v>
      </c>
      <c r="C314" t="s">
        <v>18</v>
      </c>
      <c r="D314">
        <v>161</v>
      </c>
      <c r="E314" s="2">
        <v>1339</v>
      </c>
      <c r="F314">
        <v>2</v>
      </c>
      <c r="G314" t="s">
        <v>19</v>
      </c>
      <c r="H314" t="s">
        <v>22</v>
      </c>
      <c r="I314" s="2">
        <v>215579</v>
      </c>
    </row>
    <row r="315" spans="1:9">
      <c r="A315" s="1">
        <v>45886.32064128256</v>
      </c>
      <c r="B315" t="s">
        <v>9</v>
      </c>
      <c r="C315" t="s">
        <v>18</v>
      </c>
      <c r="D315">
        <v>140</v>
      </c>
      <c r="E315" s="2">
        <v>1268</v>
      </c>
      <c r="F315">
        <v>3</v>
      </c>
      <c r="G315" t="s">
        <v>21</v>
      </c>
      <c r="H315" t="s">
        <v>22</v>
      </c>
      <c r="I315" s="2">
        <v>177520</v>
      </c>
    </row>
    <row r="316" spans="1:9">
      <c r="A316" s="1">
        <v>45887.050100200388</v>
      </c>
      <c r="B316" t="s">
        <v>12</v>
      </c>
      <c r="C316" t="s">
        <v>17</v>
      </c>
      <c r="D316">
        <v>126</v>
      </c>
      <c r="E316" s="2">
        <v>1539</v>
      </c>
      <c r="F316">
        <v>3</v>
      </c>
      <c r="G316" t="s">
        <v>19</v>
      </c>
      <c r="H316" t="s">
        <v>22</v>
      </c>
      <c r="I316" s="2">
        <v>193914</v>
      </c>
    </row>
    <row r="317" spans="1:9">
      <c r="A317" s="1">
        <v>45887.779559118229</v>
      </c>
      <c r="B317" t="s">
        <v>13</v>
      </c>
      <c r="C317" t="s">
        <v>17</v>
      </c>
      <c r="D317">
        <v>65</v>
      </c>
      <c r="E317" s="2">
        <v>1699</v>
      </c>
      <c r="F317">
        <v>2</v>
      </c>
      <c r="G317" t="s">
        <v>21</v>
      </c>
      <c r="H317" t="s">
        <v>22</v>
      </c>
      <c r="I317" s="2">
        <v>110435</v>
      </c>
    </row>
    <row r="318" spans="1:9">
      <c r="A318" s="1">
        <v>45888.509018036057</v>
      </c>
      <c r="B318" t="s">
        <v>12</v>
      </c>
      <c r="C318" t="s">
        <v>17</v>
      </c>
      <c r="D318">
        <v>156</v>
      </c>
      <c r="E318" s="2">
        <v>911</v>
      </c>
      <c r="F318">
        <v>2</v>
      </c>
      <c r="G318" t="s">
        <v>19</v>
      </c>
      <c r="H318" t="s">
        <v>23</v>
      </c>
      <c r="I318" s="2">
        <v>142116</v>
      </c>
    </row>
    <row r="319" spans="1:9">
      <c r="A319" s="1">
        <v>45889.238476953898</v>
      </c>
      <c r="B319" t="s">
        <v>16</v>
      </c>
      <c r="C319" t="s">
        <v>17</v>
      </c>
      <c r="D319">
        <v>171</v>
      </c>
      <c r="E319" s="2">
        <v>994</v>
      </c>
      <c r="F319">
        <v>1</v>
      </c>
      <c r="G319" t="s">
        <v>19</v>
      </c>
      <c r="H319" t="s">
        <v>23</v>
      </c>
      <c r="I319" s="2">
        <v>169974</v>
      </c>
    </row>
    <row r="320" spans="1:9">
      <c r="A320" s="1">
        <v>45889.967935871733</v>
      </c>
      <c r="B320" t="s">
        <v>9</v>
      </c>
      <c r="C320" t="s">
        <v>17</v>
      </c>
      <c r="D320">
        <v>85</v>
      </c>
      <c r="E320" s="2">
        <v>1065</v>
      </c>
      <c r="F320">
        <v>4</v>
      </c>
      <c r="G320" t="s">
        <v>21</v>
      </c>
      <c r="H320" t="s">
        <v>22</v>
      </c>
      <c r="I320" s="2">
        <v>90525</v>
      </c>
    </row>
    <row r="321" spans="1:9">
      <c r="A321" s="1">
        <v>45890.697394789568</v>
      </c>
      <c r="B321" t="s">
        <v>15</v>
      </c>
      <c r="C321" t="s">
        <v>17</v>
      </c>
      <c r="D321">
        <v>63</v>
      </c>
      <c r="E321" s="2">
        <v>852</v>
      </c>
      <c r="F321">
        <v>3</v>
      </c>
      <c r="G321" t="s">
        <v>20</v>
      </c>
      <c r="H321" t="s">
        <v>22</v>
      </c>
      <c r="I321" s="2">
        <v>53676</v>
      </c>
    </row>
    <row r="322" spans="1:9">
      <c r="A322" s="1">
        <v>45891.426853707409</v>
      </c>
      <c r="B322" t="s">
        <v>13</v>
      </c>
      <c r="C322" t="s">
        <v>17</v>
      </c>
      <c r="D322">
        <v>74</v>
      </c>
      <c r="E322" s="2">
        <v>1009</v>
      </c>
      <c r="F322">
        <v>1</v>
      </c>
      <c r="G322" t="s">
        <v>21</v>
      </c>
      <c r="H322" t="s">
        <v>23</v>
      </c>
      <c r="I322" s="2">
        <v>74666</v>
      </c>
    </row>
    <row r="323" spans="1:9">
      <c r="A323" s="1">
        <v>45892.156312625237</v>
      </c>
      <c r="B323" t="s">
        <v>11</v>
      </c>
      <c r="C323" t="s">
        <v>18</v>
      </c>
      <c r="D323">
        <v>75</v>
      </c>
      <c r="E323" s="2">
        <v>1588</v>
      </c>
      <c r="F323">
        <v>2</v>
      </c>
      <c r="G323" t="s">
        <v>19</v>
      </c>
      <c r="H323" t="s">
        <v>22</v>
      </c>
      <c r="I323" s="2">
        <v>119100</v>
      </c>
    </row>
    <row r="324" spans="1:9">
      <c r="A324" s="1">
        <v>45892.885771543079</v>
      </c>
      <c r="B324" t="s">
        <v>10</v>
      </c>
      <c r="C324" t="s">
        <v>17</v>
      </c>
      <c r="D324">
        <v>45</v>
      </c>
      <c r="E324" s="2">
        <v>1847</v>
      </c>
      <c r="F324">
        <v>4</v>
      </c>
      <c r="G324" t="s">
        <v>20</v>
      </c>
      <c r="H324" t="s">
        <v>23</v>
      </c>
      <c r="I324" s="2">
        <v>83115</v>
      </c>
    </row>
    <row r="325" spans="1:9">
      <c r="A325" s="1">
        <v>45893.615230460913</v>
      </c>
      <c r="B325" t="s">
        <v>14</v>
      </c>
      <c r="C325" t="s">
        <v>17</v>
      </c>
      <c r="D325">
        <v>185</v>
      </c>
      <c r="E325" s="2">
        <v>1630</v>
      </c>
      <c r="F325">
        <v>1</v>
      </c>
      <c r="G325" t="s">
        <v>21</v>
      </c>
      <c r="H325" t="s">
        <v>22</v>
      </c>
      <c r="I325" s="2">
        <v>301550</v>
      </c>
    </row>
    <row r="326" spans="1:9">
      <c r="A326" s="1">
        <v>45894.344689378748</v>
      </c>
      <c r="B326" t="s">
        <v>15</v>
      </c>
      <c r="C326" t="s">
        <v>17</v>
      </c>
      <c r="D326">
        <v>35</v>
      </c>
      <c r="E326" s="2">
        <v>969</v>
      </c>
      <c r="F326">
        <v>3</v>
      </c>
      <c r="G326" t="s">
        <v>21</v>
      </c>
      <c r="H326" t="s">
        <v>22</v>
      </c>
      <c r="I326" s="2">
        <v>33915</v>
      </c>
    </row>
    <row r="327" spans="1:9">
      <c r="A327" s="1">
        <v>45895.074148296582</v>
      </c>
      <c r="B327" t="s">
        <v>15</v>
      </c>
      <c r="C327" t="s">
        <v>17</v>
      </c>
      <c r="D327">
        <v>80</v>
      </c>
      <c r="E327" s="2">
        <v>1742</v>
      </c>
      <c r="F327">
        <v>1</v>
      </c>
      <c r="G327" t="s">
        <v>21</v>
      </c>
      <c r="H327" t="s">
        <v>23</v>
      </c>
      <c r="I327" s="2">
        <v>139360</v>
      </c>
    </row>
    <row r="328" spans="1:9">
      <c r="A328" s="1">
        <v>45895.803607214417</v>
      </c>
      <c r="B328" t="s">
        <v>12</v>
      </c>
      <c r="C328" t="s">
        <v>17</v>
      </c>
      <c r="D328">
        <v>135</v>
      </c>
      <c r="E328" s="2">
        <v>938</v>
      </c>
      <c r="F328">
        <v>3</v>
      </c>
      <c r="G328" t="s">
        <v>20</v>
      </c>
      <c r="H328" t="s">
        <v>23</v>
      </c>
      <c r="I328" s="2">
        <v>126630</v>
      </c>
    </row>
    <row r="329" spans="1:9">
      <c r="A329" s="1">
        <v>45896.533066132259</v>
      </c>
      <c r="B329" t="s">
        <v>9</v>
      </c>
      <c r="C329" t="s">
        <v>18</v>
      </c>
      <c r="D329">
        <v>183</v>
      </c>
      <c r="E329" s="2">
        <v>1178</v>
      </c>
      <c r="F329">
        <v>2</v>
      </c>
      <c r="G329" t="s">
        <v>19</v>
      </c>
      <c r="H329" t="s">
        <v>23</v>
      </c>
      <c r="I329" s="2">
        <v>215574</v>
      </c>
    </row>
    <row r="330" spans="1:9">
      <c r="A330" s="1">
        <v>45897.262525050093</v>
      </c>
      <c r="B330" t="s">
        <v>13</v>
      </c>
      <c r="C330" t="s">
        <v>17</v>
      </c>
      <c r="D330">
        <v>124</v>
      </c>
      <c r="E330" s="2">
        <v>1429</v>
      </c>
      <c r="F330">
        <v>4</v>
      </c>
      <c r="G330" t="s">
        <v>21</v>
      </c>
      <c r="H330" t="s">
        <v>23</v>
      </c>
      <c r="I330" s="2">
        <v>177196</v>
      </c>
    </row>
    <row r="331" spans="1:9">
      <c r="A331" s="1">
        <v>45897.991983967928</v>
      </c>
      <c r="B331" t="s">
        <v>13</v>
      </c>
      <c r="C331" t="s">
        <v>18</v>
      </c>
      <c r="D331">
        <v>144</v>
      </c>
      <c r="E331" s="2">
        <v>1759</v>
      </c>
      <c r="F331">
        <v>4</v>
      </c>
      <c r="G331" t="s">
        <v>21</v>
      </c>
      <c r="H331" t="s">
        <v>22</v>
      </c>
      <c r="I331" s="2">
        <v>253296</v>
      </c>
    </row>
    <row r="332" spans="1:9">
      <c r="A332" s="1">
        <v>45898.721442885762</v>
      </c>
      <c r="B332" t="s">
        <v>16</v>
      </c>
      <c r="C332" t="s">
        <v>18</v>
      </c>
      <c r="D332">
        <v>198</v>
      </c>
      <c r="E332" s="2">
        <v>1206</v>
      </c>
      <c r="F332">
        <v>4</v>
      </c>
      <c r="G332" t="s">
        <v>21</v>
      </c>
      <c r="H332" t="s">
        <v>23</v>
      </c>
      <c r="I332" s="2">
        <v>238788</v>
      </c>
    </row>
    <row r="333" spans="1:9">
      <c r="A333" s="1">
        <v>45899.450901803597</v>
      </c>
      <c r="B333" t="s">
        <v>16</v>
      </c>
      <c r="C333" t="s">
        <v>17</v>
      </c>
      <c r="D333">
        <v>91</v>
      </c>
      <c r="E333" s="2">
        <v>1459</v>
      </c>
      <c r="F333">
        <v>2</v>
      </c>
      <c r="G333" t="s">
        <v>21</v>
      </c>
      <c r="H333" t="s">
        <v>22</v>
      </c>
      <c r="I333" s="2">
        <v>132769</v>
      </c>
    </row>
    <row r="334" spans="1:9">
      <c r="A334" s="1">
        <v>45900.180360721439</v>
      </c>
      <c r="B334" t="s">
        <v>10</v>
      </c>
      <c r="C334" t="s">
        <v>17</v>
      </c>
      <c r="D334">
        <v>35</v>
      </c>
      <c r="E334" s="2">
        <v>1116</v>
      </c>
      <c r="F334">
        <v>3</v>
      </c>
      <c r="G334" t="s">
        <v>21</v>
      </c>
      <c r="H334" t="s">
        <v>23</v>
      </c>
      <c r="I334" s="2">
        <v>39060</v>
      </c>
    </row>
    <row r="335" spans="1:9">
      <c r="A335" s="1">
        <v>45900.909819639273</v>
      </c>
      <c r="B335" t="s">
        <v>12</v>
      </c>
      <c r="C335" t="s">
        <v>17</v>
      </c>
      <c r="D335">
        <v>97</v>
      </c>
      <c r="E335" s="2">
        <v>1466</v>
      </c>
      <c r="F335">
        <v>2</v>
      </c>
      <c r="G335" t="s">
        <v>19</v>
      </c>
      <c r="H335" t="s">
        <v>23</v>
      </c>
      <c r="I335" s="2">
        <v>142202</v>
      </c>
    </row>
    <row r="336" spans="1:9">
      <c r="A336" s="1">
        <v>45901.639278557108</v>
      </c>
      <c r="B336" t="s">
        <v>15</v>
      </c>
      <c r="C336" t="s">
        <v>17</v>
      </c>
      <c r="D336">
        <v>89</v>
      </c>
      <c r="E336" s="2">
        <v>1801</v>
      </c>
      <c r="F336">
        <v>4</v>
      </c>
      <c r="G336" t="s">
        <v>19</v>
      </c>
      <c r="H336" t="s">
        <v>22</v>
      </c>
      <c r="I336" s="2">
        <v>160289</v>
      </c>
    </row>
    <row r="337" spans="1:9">
      <c r="A337" s="1">
        <v>45902.368737474942</v>
      </c>
      <c r="B337" t="s">
        <v>13</v>
      </c>
      <c r="C337" t="s">
        <v>17</v>
      </c>
      <c r="D337">
        <v>149</v>
      </c>
      <c r="E337" s="2">
        <v>1172</v>
      </c>
      <c r="F337">
        <v>2</v>
      </c>
      <c r="G337" t="s">
        <v>21</v>
      </c>
      <c r="H337" t="s">
        <v>23</v>
      </c>
      <c r="I337" s="2">
        <v>174628</v>
      </c>
    </row>
    <row r="338" spans="1:9">
      <c r="A338" s="1">
        <v>45903.098196392777</v>
      </c>
      <c r="B338" t="s">
        <v>11</v>
      </c>
      <c r="C338" t="s">
        <v>18</v>
      </c>
      <c r="D338">
        <v>177</v>
      </c>
      <c r="E338" s="2">
        <v>1484</v>
      </c>
      <c r="F338">
        <v>2</v>
      </c>
      <c r="G338" t="s">
        <v>20</v>
      </c>
      <c r="H338" t="s">
        <v>23</v>
      </c>
      <c r="I338" s="2">
        <v>262668</v>
      </c>
    </row>
    <row r="339" spans="1:9">
      <c r="A339" s="1">
        <v>45903.827655310612</v>
      </c>
      <c r="B339" t="s">
        <v>12</v>
      </c>
      <c r="C339" t="s">
        <v>17</v>
      </c>
      <c r="D339">
        <v>183</v>
      </c>
      <c r="E339" s="2">
        <v>1837</v>
      </c>
      <c r="F339">
        <v>2</v>
      </c>
      <c r="G339" t="s">
        <v>19</v>
      </c>
      <c r="H339" t="s">
        <v>23</v>
      </c>
      <c r="I339" s="2">
        <v>336171</v>
      </c>
    </row>
    <row r="340" spans="1:9">
      <c r="A340" s="1">
        <v>45904.557114228453</v>
      </c>
      <c r="B340" t="s">
        <v>10</v>
      </c>
      <c r="C340" t="s">
        <v>17</v>
      </c>
      <c r="D340">
        <v>87</v>
      </c>
      <c r="E340" s="2">
        <v>1390</v>
      </c>
      <c r="F340">
        <v>3</v>
      </c>
      <c r="G340" t="s">
        <v>20</v>
      </c>
      <c r="H340" t="s">
        <v>23</v>
      </c>
      <c r="I340" s="2">
        <v>120930</v>
      </c>
    </row>
    <row r="341" spans="1:9">
      <c r="A341" s="1">
        <v>45905.286573146288</v>
      </c>
      <c r="B341" t="s">
        <v>10</v>
      </c>
      <c r="C341" t="s">
        <v>17</v>
      </c>
      <c r="D341">
        <v>171</v>
      </c>
      <c r="E341" s="2">
        <v>1498</v>
      </c>
      <c r="F341">
        <v>1</v>
      </c>
      <c r="G341" t="s">
        <v>19</v>
      </c>
      <c r="H341" t="s">
        <v>22</v>
      </c>
      <c r="I341" s="2">
        <v>256158</v>
      </c>
    </row>
    <row r="342" spans="1:9">
      <c r="A342" s="1">
        <v>45906.016032064123</v>
      </c>
      <c r="B342" t="s">
        <v>12</v>
      </c>
      <c r="C342" t="s">
        <v>17</v>
      </c>
      <c r="D342">
        <v>91</v>
      </c>
      <c r="E342" s="2">
        <v>1044</v>
      </c>
      <c r="F342">
        <v>1</v>
      </c>
      <c r="G342" t="s">
        <v>21</v>
      </c>
      <c r="H342" t="s">
        <v>22</v>
      </c>
      <c r="I342" s="2">
        <v>95004</v>
      </c>
    </row>
    <row r="343" spans="1:9">
      <c r="A343" s="1">
        <v>45906.745490981957</v>
      </c>
      <c r="B343" t="s">
        <v>10</v>
      </c>
      <c r="C343" t="s">
        <v>17</v>
      </c>
      <c r="D343">
        <v>151</v>
      </c>
      <c r="E343" s="2">
        <v>1770</v>
      </c>
      <c r="F343">
        <v>2</v>
      </c>
      <c r="G343" t="s">
        <v>19</v>
      </c>
      <c r="H343" t="s">
        <v>23</v>
      </c>
      <c r="I343" s="2">
        <v>267270</v>
      </c>
    </row>
    <row r="344" spans="1:9">
      <c r="A344" s="1">
        <v>45907.474949899792</v>
      </c>
      <c r="B344" t="s">
        <v>12</v>
      </c>
      <c r="C344" t="s">
        <v>17</v>
      </c>
      <c r="D344">
        <v>188</v>
      </c>
      <c r="E344" s="2">
        <v>1587</v>
      </c>
      <c r="F344">
        <v>1</v>
      </c>
      <c r="G344" t="s">
        <v>21</v>
      </c>
      <c r="H344" t="s">
        <v>23</v>
      </c>
      <c r="I344" s="2">
        <v>298356</v>
      </c>
    </row>
    <row r="345" spans="1:9">
      <c r="A345" s="1">
        <v>45908.204408817634</v>
      </c>
      <c r="B345" t="s">
        <v>14</v>
      </c>
      <c r="C345" t="s">
        <v>18</v>
      </c>
      <c r="D345">
        <v>69</v>
      </c>
      <c r="E345" s="2">
        <v>1181</v>
      </c>
      <c r="F345">
        <v>1</v>
      </c>
      <c r="G345" t="s">
        <v>19</v>
      </c>
      <c r="H345" t="s">
        <v>23</v>
      </c>
      <c r="I345" s="2">
        <v>81489</v>
      </c>
    </row>
    <row r="346" spans="1:9">
      <c r="A346" s="1">
        <v>45908.933867735461</v>
      </c>
      <c r="B346" t="s">
        <v>12</v>
      </c>
      <c r="C346" t="s">
        <v>17</v>
      </c>
      <c r="D346">
        <v>97</v>
      </c>
      <c r="E346" s="2">
        <v>1019</v>
      </c>
      <c r="F346">
        <v>2</v>
      </c>
      <c r="G346" t="s">
        <v>21</v>
      </c>
      <c r="H346" t="s">
        <v>22</v>
      </c>
      <c r="I346" s="2">
        <v>98843</v>
      </c>
    </row>
    <row r="347" spans="1:9">
      <c r="A347" s="1">
        <v>45909.663326653303</v>
      </c>
      <c r="B347" t="s">
        <v>9</v>
      </c>
      <c r="C347" t="s">
        <v>17</v>
      </c>
      <c r="D347">
        <v>59</v>
      </c>
      <c r="E347" s="2">
        <v>1370</v>
      </c>
      <c r="F347">
        <v>2</v>
      </c>
      <c r="G347" t="s">
        <v>21</v>
      </c>
      <c r="H347" t="s">
        <v>22</v>
      </c>
      <c r="I347" s="2">
        <v>80830</v>
      </c>
    </row>
    <row r="348" spans="1:9">
      <c r="A348" s="1">
        <v>45910.392785571137</v>
      </c>
      <c r="B348" t="s">
        <v>12</v>
      </c>
      <c r="C348" t="s">
        <v>17</v>
      </c>
      <c r="D348">
        <v>124</v>
      </c>
      <c r="E348" s="2">
        <v>1312</v>
      </c>
      <c r="F348">
        <v>4</v>
      </c>
      <c r="G348" t="s">
        <v>21</v>
      </c>
      <c r="H348" t="s">
        <v>22</v>
      </c>
      <c r="I348" s="2">
        <v>162688</v>
      </c>
    </row>
    <row r="349" spans="1:9">
      <c r="A349" s="1">
        <v>45911.122244488972</v>
      </c>
      <c r="B349" t="s">
        <v>10</v>
      </c>
      <c r="C349" t="s">
        <v>18</v>
      </c>
      <c r="D349">
        <v>109</v>
      </c>
      <c r="E349" s="2">
        <v>889</v>
      </c>
      <c r="F349">
        <v>1</v>
      </c>
      <c r="G349" t="s">
        <v>21</v>
      </c>
      <c r="H349" t="s">
        <v>22</v>
      </c>
      <c r="I349" s="2">
        <v>96901</v>
      </c>
    </row>
    <row r="350" spans="1:9">
      <c r="A350" s="1">
        <v>45911.851703406814</v>
      </c>
      <c r="B350" t="s">
        <v>13</v>
      </c>
      <c r="C350" t="s">
        <v>17</v>
      </c>
      <c r="D350">
        <v>72</v>
      </c>
      <c r="E350" s="2">
        <v>1386</v>
      </c>
      <c r="F350">
        <v>3</v>
      </c>
      <c r="G350" t="s">
        <v>20</v>
      </c>
      <c r="H350" t="s">
        <v>23</v>
      </c>
      <c r="I350" s="2">
        <v>99792</v>
      </c>
    </row>
    <row r="351" spans="1:9">
      <c r="A351" s="1">
        <v>45912.581162324641</v>
      </c>
      <c r="B351" t="s">
        <v>9</v>
      </c>
      <c r="C351" t="s">
        <v>17</v>
      </c>
      <c r="D351">
        <v>164</v>
      </c>
      <c r="E351" s="2">
        <v>1110</v>
      </c>
      <c r="F351">
        <v>2</v>
      </c>
      <c r="G351" t="s">
        <v>21</v>
      </c>
      <c r="H351" t="s">
        <v>23</v>
      </c>
      <c r="I351" s="2">
        <v>182040</v>
      </c>
    </row>
    <row r="352" spans="1:9">
      <c r="A352" s="1">
        <v>45913.310621242483</v>
      </c>
      <c r="B352" t="s">
        <v>10</v>
      </c>
      <c r="C352" t="s">
        <v>17</v>
      </c>
      <c r="D352">
        <v>169</v>
      </c>
      <c r="E352" s="2">
        <v>1244</v>
      </c>
      <c r="F352">
        <v>4</v>
      </c>
      <c r="G352" t="s">
        <v>20</v>
      </c>
      <c r="H352" t="s">
        <v>23</v>
      </c>
      <c r="I352" s="2">
        <v>210236</v>
      </c>
    </row>
    <row r="353" spans="1:9">
      <c r="A353" s="1">
        <v>45914.04008016031</v>
      </c>
      <c r="B353" t="s">
        <v>16</v>
      </c>
      <c r="C353" t="s">
        <v>17</v>
      </c>
      <c r="D353">
        <v>196</v>
      </c>
      <c r="E353" s="2">
        <v>1804</v>
      </c>
      <c r="F353">
        <v>3</v>
      </c>
      <c r="G353" t="s">
        <v>20</v>
      </c>
      <c r="H353" t="s">
        <v>22</v>
      </c>
      <c r="I353" s="2">
        <v>353584</v>
      </c>
    </row>
    <row r="354" spans="1:9">
      <c r="A354" s="1">
        <v>45914.769539078137</v>
      </c>
      <c r="B354" t="s">
        <v>16</v>
      </c>
      <c r="C354" t="s">
        <v>18</v>
      </c>
      <c r="D354">
        <v>125</v>
      </c>
      <c r="E354" s="2">
        <v>1075</v>
      </c>
      <c r="F354">
        <v>1</v>
      </c>
      <c r="G354" t="s">
        <v>21</v>
      </c>
      <c r="H354" t="s">
        <v>23</v>
      </c>
      <c r="I354" s="2">
        <v>134375</v>
      </c>
    </row>
    <row r="355" spans="1:9">
      <c r="A355" s="1">
        <v>45915.498997995986</v>
      </c>
      <c r="B355" t="s">
        <v>13</v>
      </c>
      <c r="C355" t="s">
        <v>18</v>
      </c>
      <c r="D355">
        <v>51</v>
      </c>
      <c r="E355" s="2">
        <v>1833</v>
      </c>
      <c r="F355">
        <v>4</v>
      </c>
      <c r="G355" t="s">
        <v>20</v>
      </c>
      <c r="H355" t="s">
        <v>22</v>
      </c>
      <c r="I355" s="2">
        <v>93483</v>
      </c>
    </row>
    <row r="356" spans="1:9">
      <c r="A356" s="1">
        <v>45916.228456913821</v>
      </c>
      <c r="B356" t="s">
        <v>13</v>
      </c>
      <c r="C356" t="s">
        <v>17</v>
      </c>
      <c r="D356">
        <v>162</v>
      </c>
      <c r="E356" s="2">
        <v>973</v>
      </c>
      <c r="F356">
        <v>2</v>
      </c>
      <c r="G356" t="s">
        <v>19</v>
      </c>
      <c r="H356" t="s">
        <v>22</v>
      </c>
      <c r="I356" s="2">
        <v>157626</v>
      </c>
    </row>
    <row r="357" spans="1:9">
      <c r="A357" s="1">
        <v>45916.957915831663</v>
      </c>
      <c r="B357" t="s">
        <v>9</v>
      </c>
      <c r="C357" t="s">
        <v>17</v>
      </c>
      <c r="D357">
        <v>142</v>
      </c>
      <c r="E357" s="2">
        <v>1824</v>
      </c>
      <c r="F357">
        <v>3</v>
      </c>
      <c r="G357" t="s">
        <v>21</v>
      </c>
      <c r="H357" t="s">
        <v>23</v>
      </c>
      <c r="I357" s="2">
        <v>259008</v>
      </c>
    </row>
    <row r="358" spans="1:9">
      <c r="A358" s="1">
        <v>45917.68737474949</v>
      </c>
      <c r="B358" t="s">
        <v>14</v>
      </c>
      <c r="C358" t="s">
        <v>17</v>
      </c>
      <c r="D358">
        <v>186</v>
      </c>
      <c r="E358" s="2">
        <v>887</v>
      </c>
      <c r="F358">
        <v>2</v>
      </c>
      <c r="G358" t="s">
        <v>20</v>
      </c>
      <c r="H358" t="s">
        <v>23</v>
      </c>
      <c r="I358" s="2">
        <v>164982</v>
      </c>
    </row>
    <row r="359" spans="1:9">
      <c r="A359" s="1">
        <v>45918.416833667317</v>
      </c>
      <c r="B359" t="s">
        <v>13</v>
      </c>
      <c r="C359" t="s">
        <v>17</v>
      </c>
      <c r="D359">
        <v>59</v>
      </c>
      <c r="E359" s="2">
        <v>1177</v>
      </c>
      <c r="F359">
        <v>1</v>
      </c>
      <c r="G359" t="s">
        <v>21</v>
      </c>
      <c r="H359" t="s">
        <v>23</v>
      </c>
      <c r="I359" s="2">
        <v>69443</v>
      </c>
    </row>
    <row r="360" spans="1:9">
      <c r="A360" s="1">
        <v>45919.146292585159</v>
      </c>
      <c r="B360" t="s">
        <v>16</v>
      </c>
      <c r="C360" t="s">
        <v>18</v>
      </c>
      <c r="D360">
        <v>122</v>
      </c>
      <c r="E360" s="2">
        <v>1100</v>
      </c>
      <c r="F360">
        <v>3</v>
      </c>
      <c r="G360" t="s">
        <v>21</v>
      </c>
      <c r="H360" t="s">
        <v>22</v>
      </c>
      <c r="I360" s="2">
        <v>134200</v>
      </c>
    </row>
    <row r="361" spans="1:9">
      <c r="A361" s="1">
        <v>45919.875751503001</v>
      </c>
      <c r="B361" t="s">
        <v>12</v>
      </c>
      <c r="C361" t="s">
        <v>18</v>
      </c>
      <c r="D361">
        <v>195</v>
      </c>
      <c r="E361" s="2">
        <v>1750</v>
      </c>
      <c r="F361">
        <v>1</v>
      </c>
      <c r="G361" t="s">
        <v>21</v>
      </c>
      <c r="H361" t="s">
        <v>22</v>
      </c>
      <c r="I361" s="2">
        <v>341250</v>
      </c>
    </row>
    <row r="362" spans="1:9">
      <c r="A362" s="1">
        <v>45920.605210420843</v>
      </c>
      <c r="B362" t="s">
        <v>10</v>
      </c>
      <c r="C362" t="s">
        <v>17</v>
      </c>
      <c r="D362">
        <v>63</v>
      </c>
      <c r="E362" s="2">
        <v>1025</v>
      </c>
      <c r="F362">
        <v>1</v>
      </c>
      <c r="G362" t="s">
        <v>20</v>
      </c>
      <c r="H362" t="s">
        <v>23</v>
      </c>
      <c r="I362" s="2">
        <v>64575</v>
      </c>
    </row>
    <row r="363" spans="1:9">
      <c r="A363" s="1">
        <v>45921.33466933867</v>
      </c>
      <c r="B363" t="s">
        <v>16</v>
      </c>
      <c r="C363" t="s">
        <v>18</v>
      </c>
      <c r="D363">
        <v>97</v>
      </c>
      <c r="E363" s="2">
        <v>1451</v>
      </c>
      <c r="F363">
        <v>4</v>
      </c>
      <c r="G363" t="s">
        <v>19</v>
      </c>
      <c r="H363" t="s">
        <v>23</v>
      </c>
      <c r="I363" s="2">
        <v>140747</v>
      </c>
    </row>
    <row r="364" spans="1:9">
      <c r="A364" s="1">
        <v>45922.064128256497</v>
      </c>
      <c r="B364" t="s">
        <v>16</v>
      </c>
      <c r="C364" t="s">
        <v>18</v>
      </c>
      <c r="D364">
        <v>184</v>
      </c>
      <c r="E364" s="2">
        <v>1763</v>
      </c>
      <c r="F364">
        <v>2</v>
      </c>
      <c r="G364" t="s">
        <v>19</v>
      </c>
      <c r="H364" t="s">
        <v>22</v>
      </c>
      <c r="I364" s="2">
        <v>324392</v>
      </c>
    </row>
    <row r="365" spans="1:9">
      <c r="A365" s="1">
        <v>45922.793587174339</v>
      </c>
      <c r="B365" t="s">
        <v>14</v>
      </c>
      <c r="C365" t="s">
        <v>18</v>
      </c>
      <c r="D365">
        <v>188</v>
      </c>
      <c r="E365" s="2">
        <v>1303</v>
      </c>
      <c r="F365">
        <v>3</v>
      </c>
      <c r="G365" t="s">
        <v>20</v>
      </c>
      <c r="H365" t="s">
        <v>23</v>
      </c>
      <c r="I365" s="2">
        <v>244964</v>
      </c>
    </row>
    <row r="366" spans="1:9">
      <c r="A366" s="1">
        <v>45923.523046092167</v>
      </c>
      <c r="B366" t="s">
        <v>9</v>
      </c>
      <c r="C366" t="s">
        <v>18</v>
      </c>
      <c r="D366">
        <v>190</v>
      </c>
      <c r="E366" s="2">
        <v>886</v>
      </c>
      <c r="F366">
        <v>1</v>
      </c>
      <c r="G366" t="s">
        <v>21</v>
      </c>
      <c r="H366" t="s">
        <v>22</v>
      </c>
      <c r="I366" s="2">
        <v>168340</v>
      </c>
    </row>
    <row r="367" spans="1:9">
      <c r="A367" s="1">
        <v>45924.252505010008</v>
      </c>
      <c r="B367" t="s">
        <v>9</v>
      </c>
      <c r="C367" t="s">
        <v>17</v>
      </c>
      <c r="D367">
        <v>148</v>
      </c>
      <c r="E367" s="2">
        <v>1165</v>
      </c>
      <c r="F367">
        <v>1</v>
      </c>
      <c r="G367" t="s">
        <v>20</v>
      </c>
      <c r="H367" t="s">
        <v>22</v>
      </c>
      <c r="I367" s="2">
        <v>172420</v>
      </c>
    </row>
    <row r="368" spans="1:9">
      <c r="A368" s="1">
        <v>45924.98196392785</v>
      </c>
      <c r="B368" t="s">
        <v>15</v>
      </c>
      <c r="C368" t="s">
        <v>17</v>
      </c>
      <c r="D368">
        <v>83</v>
      </c>
      <c r="E368" s="2">
        <v>1537</v>
      </c>
      <c r="F368">
        <v>3</v>
      </c>
      <c r="G368" t="s">
        <v>20</v>
      </c>
      <c r="H368" t="s">
        <v>23</v>
      </c>
      <c r="I368" s="2">
        <v>127571</v>
      </c>
    </row>
    <row r="369" spans="1:9">
      <c r="A369" s="1">
        <v>45925.711422845678</v>
      </c>
      <c r="B369" t="s">
        <v>14</v>
      </c>
      <c r="C369" t="s">
        <v>17</v>
      </c>
      <c r="D369">
        <v>115</v>
      </c>
      <c r="E369" s="2">
        <v>1822</v>
      </c>
      <c r="F369">
        <v>1</v>
      </c>
      <c r="G369" t="s">
        <v>20</v>
      </c>
      <c r="H369" t="s">
        <v>23</v>
      </c>
      <c r="I369" s="2">
        <v>209530</v>
      </c>
    </row>
    <row r="370" spans="1:9">
      <c r="A370" s="1">
        <v>45926.440881763519</v>
      </c>
      <c r="B370" t="s">
        <v>12</v>
      </c>
      <c r="C370" t="s">
        <v>18</v>
      </c>
      <c r="D370">
        <v>118</v>
      </c>
      <c r="E370" s="2">
        <v>1645</v>
      </c>
      <c r="F370">
        <v>4</v>
      </c>
      <c r="G370" t="s">
        <v>21</v>
      </c>
      <c r="H370" t="s">
        <v>23</v>
      </c>
      <c r="I370" s="2">
        <v>194110</v>
      </c>
    </row>
    <row r="371" spans="1:9">
      <c r="A371" s="1">
        <v>45927.170340681347</v>
      </c>
      <c r="B371" t="s">
        <v>9</v>
      </c>
      <c r="C371" t="s">
        <v>17</v>
      </c>
      <c r="D371">
        <v>139</v>
      </c>
      <c r="E371" s="2">
        <v>1814</v>
      </c>
      <c r="F371">
        <v>4</v>
      </c>
      <c r="G371" t="s">
        <v>20</v>
      </c>
      <c r="H371" t="s">
        <v>23</v>
      </c>
      <c r="I371" s="2">
        <v>252146</v>
      </c>
    </row>
    <row r="372" spans="1:9">
      <c r="A372" s="1">
        <v>45927.899799599189</v>
      </c>
      <c r="B372" t="s">
        <v>10</v>
      </c>
      <c r="C372" t="s">
        <v>17</v>
      </c>
      <c r="D372">
        <v>182</v>
      </c>
      <c r="E372" s="2">
        <v>1822</v>
      </c>
      <c r="F372">
        <v>4</v>
      </c>
      <c r="G372" t="s">
        <v>21</v>
      </c>
      <c r="H372" t="s">
        <v>22</v>
      </c>
      <c r="I372" s="2">
        <v>331604</v>
      </c>
    </row>
    <row r="373" spans="1:9">
      <c r="A373" s="1">
        <v>45928.629258517023</v>
      </c>
      <c r="B373" t="s">
        <v>13</v>
      </c>
      <c r="C373" t="s">
        <v>17</v>
      </c>
      <c r="D373">
        <v>152</v>
      </c>
      <c r="E373" s="2">
        <v>1442</v>
      </c>
      <c r="F373">
        <v>4</v>
      </c>
      <c r="G373" t="s">
        <v>20</v>
      </c>
      <c r="H373" t="s">
        <v>22</v>
      </c>
      <c r="I373" s="2">
        <v>219184</v>
      </c>
    </row>
    <row r="374" spans="1:9">
      <c r="A374" s="1">
        <v>45929.358717434858</v>
      </c>
      <c r="B374" t="s">
        <v>14</v>
      </c>
      <c r="C374" t="s">
        <v>17</v>
      </c>
      <c r="D374">
        <v>120</v>
      </c>
      <c r="E374" s="2">
        <v>963</v>
      </c>
      <c r="F374">
        <v>1</v>
      </c>
      <c r="G374" t="s">
        <v>19</v>
      </c>
      <c r="H374" t="s">
        <v>22</v>
      </c>
      <c r="I374" s="2">
        <v>115560</v>
      </c>
    </row>
    <row r="375" spans="1:9">
      <c r="A375" s="1">
        <v>45930.0881763527</v>
      </c>
      <c r="B375" t="s">
        <v>13</v>
      </c>
      <c r="C375" t="s">
        <v>17</v>
      </c>
      <c r="D375">
        <v>97</v>
      </c>
      <c r="E375" s="2">
        <v>889</v>
      </c>
      <c r="F375">
        <v>3</v>
      </c>
      <c r="G375" t="s">
        <v>20</v>
      </c>
      <c r="H375" t="s">
        <v>23</v>
      </c>
      <c r="I375" s="2">
        <v>86233</v>
      </c>
    </row>
    <row r="376" spans="1:9">
      <c r="A376" s="1">
        <v>45930.817635270527</v>
      </c>
      <c r="B376" t="s">
        <v>16</v>
      </c>
      <c r="C376" t="s">
        <v>17</v>
      </c>
      <c r="D376">
        <v>138</v>
      </c>
      <c r="E376" s="2">
        <v>1150</v>
      </c>
      <c r="F376">
        <v>3</v>
      </c>
      <c r="G376" t="s">
        <v>20</v>
      </c>
      <c r="H376" t="s">
        <v>22</v>
      </c>
      <c r="I376" s="2">
        <v>158700</v>
      </c>
    </row>
    <row r="377" spans="1:9">
      <c r="A377" s="1">
        <v>45931.547094188369</v>
      </c>
      <c r="B377" t="s">
        <v>10</v>
      </c>
      <c r="C377" t="s">
        <v>17</v>
      </c>
      <c r="D377">
        <v>83</v>
      </c>
      <c r="E377" s="2">
        <v>1073</v>
      </c>
      <c r="F377">
        <v>3</v>
      </c>
      <c r="G377" t="s">
        <v>19</v>
      </c>
      <c r="H377" t="s">
        <v>23</v>
      </c>
      <c r="I377" s="2">
        <v>89059</v>
      </c>
    </row>
    <row r="378" spans="1:9">
      <c r="A378" s="1">
        <v>45932.276553106203</v>
      </c>
      <c r="B378" t="s">
        <v>10</v>
      </c>
      <c r="C378" t="s">
        <v>17</v>
      </c>
      <c r="D378">
        <v>105</v>
      </c>
      <c r="E378" s="2">
        <v>1167</v>
      </c>
      <c r="F378">
        <v>3</v>
      </c>
      <c r="G378" t="s">
        <v>21</v>
      </c>
      <c r="H378" t="s">
        <v>23</v>
      </c>
      <c r="I378" s="2">
        <v>122535</v>
      </c>
    </row>
    <row r="379" spans="1:9">
      <c r="A379" s="1">
        <v>45933.006012024038</v>
      </c>
      <c r="B379" t="s">
        <v>16</v>
      </c>
      <c r="C379" t="s">
        <v>18</v>
      </c>
      <c r="D379">
        <v>35</v>
      </c>
      <c r="E379" s="2">
        <v>1198</v>
      </c>
      <c r="F379">
        <v>2</v>
      </c>
      <c r="G379" t="s">
        <v>21</v>
      </c>
      <c r="H379" t="s">
        <v>23</v>
      </c>
      <c r="I379" s="2">
        <v>41930</v>
      </c>
    </row>
    <row r="380" spans="1:9">
      <c r="A380" s="1">
        <v>45933.735470941872</v>
      </c>
      <c r="B380" t="s">
        <v>14</v>
      </c>
      <c r="C380" t="s">
        <v>17</v>
      </c>
      <c r="D380">
        <v>175</v>
      </c>
      <c r="E380" s="2">
        <v>964</v>
      </c>
      <c r="F380">
        <v>3</v>
      </c>
      <c r="G380" t="s">
        <v>20</v>
      </c>
      <c r="H380" t="s">
        <v>23</v>
      </c>
      <c r="I380" s="2">
        <v>168700</v>
      </c>
    </row>
    <row r="381" spans="1:9">
      <c r="A381" s="1">
        <v>45934.464929859707</v>
      </c>
      <c r="B381" t="s">
        <v>16</v>
      </c>
      <c r="C381" t="s">
        <v>17</v>
      </c>
      <c r="D381">
        <v>157</v>
      </c>
      <c r="E381" s="2">
        <v>1547</v>
      </c>
      <c r="F381">
        <v>2</v>
      </c>
      <c r="G381" t="s">
        <v>19</v>
      </c>
      <c r="H381" t="s">
        <v>23</v>
      </c>
      <c r="I381" s="2">
        <v>242879</v>
      </c>
    </row>
    <row r="382" spans="1:9">
      <c r="A382" s="1">
        <v>45935.194388777549</v>
      </c>
      <c r="B382" t="s">
        <v>13</v>
      </c>
      <c r="C382" t="s">
        <v>18</v>
      </c>
      <c r="D382">
        <v>96</v>
      </c>
      <c r="E382" s="2">
        <v>1172</v>
      </c>
      <c r="F382">
        <v>2</v>
      </c>
      <c r="G382" t="s">
        <v>21</v>
      </c>
      <c r="H382" t="s">
        <v>23</v>
      </c>
      <c r="I382" s="2">
        <v>112512</v>
      </c>
    </row>
    <row r="383" spans="1:9">
      <c r="A383" s="1">
        <v>45935.923847695383</v>
      </c>
      <c r="B383" t="s">
        <v>15</v>
      </c>
      <c r="C383" t="s">
        <v>18</v>
      </c>
      <c r="D383">
        <v>66</v>
      </c>
      <c r="E383" s="2">
        <v>1417</v>
      </c>
      <c r="F383">
        <v>4</v>
      </c>
      <c r="G383" t="s">
        <v>20</v>
      </c>
      <c r="H383" t="s">
        <v>22</v>
      </c>
      <c r="I383" s="2">
        <v>93522</v>
      </c>
    </row>
    <row r="384" spans="1:9">
      <c r="A384" s="1">
        <v>45936.653306613218</v>
      </c>
      <c r="B384" t="s">
        <v>10</v>
      </c>
      <c r="C384" t="s">
        <v>17</v>
      </c>
      <c r="D384">
        <v>192</v>
      </c>
      <c r="E384" s="2">
        <v>889</v>
      </c>
      <c r="F384">
        <v>2</v>
      </c>
      <c r="G384" t="s">
        <v>19</v>
      </c>
      <c r="H384" t="s">
        <v>23</v>
      </c>
      <c r="I384" s="2">
        <v>170688</v>
      </c>
    </row>
    <row r="385" spans="1:9">
      <c r="A385" s="1">
        <v>45937.382765531052</v>
      </c>
      <c r="B385" t="s">
        <v>11</v>
      </c>
      <c r="C385" t="s">
        <v>17</v>
      </c>
      <c r="D385">
        <v>63</v>
      </c>
      <c r="E385" s="2">
        <v>1715</v>
      </c>
      <c r="F385">
        <v>1</v>
      </c>
      <c r="G385" t="s">
        <v>21</v>
      </c>
      <c r="H385" t="s">
        <v>22</v>
      </c>
      <c r="I385" s="2">
        <v>108045</v>
      </c>
    </row>
    <row r="386" spans="1:9">
      <c r="A386" s="1">
        <v>45938.112224448887</v>
      </c>
      <c r="B386" t="s">
        <v>11</v>
      </c>
      <c r="C386" t="s">
        <v>17</v>
      </c>
      <c r="D386">
        <v>83</v>
      </c>
      <c r="E386" s="2">
        <v>889</v>
      </c>
      <c r="F386">
        <v>2</v>
      </c>
      <c r="G386" t="s">
        <v>21</v>
      </c>
      <c r="H386" t="s">
        <v>22</v>
      </c>
      <c r="I386" s="2">
        <v>73787</v>
      </c>
    </row>
    <row r="387" spans="1:9">
      <c r="A387" s="1">
        <v>45938.841683366722</v>
      </c>
      <c r="B387" t="s">
        <v>13</v>
      </c>
      <c r="C387" t="s">
        <v>17</v>
      </c>
      <c r="D387">
        <v>64</v>
      </c>
      <c r="E387" s="2">
        <v>1708</v>
      </c>
      <c r="F387">
        <v>4</v>
      </c>
      <c r="G387" t="s">
        <v>19</v>
      </c>
      <c r="H387" t="s">
        <v>23</v>
      </c>
      <c r="I387" s="2">
        <v>109312</v>
      </c>
    </row>
    <row r="388" spans="1:9">
      <c r="A388" s="1">
        <v>45939.571142284563</v>
      </c>
      <c r="B388" t="s">
        <v>12</v>
      </c>
      <c r="C388" t="s">
        <v>18</v>
      </c>
      <c r="D388">
        <v>178</v>
      </c>
      <c r="E388" s="2">
        <v>1822</v>
      </c>
      <c r="F388">
        <v>2</v>
      </c>
      <c r="G388" t="s">
        <v>19</v>
      </c>
      <c r="H388" t="s">
        <v>23</v>
      </c>
      <c r="I388" s="2">
        <v>324316</v>
      </c>
    </row>
    <row r="389" spans="1:9">
      <c r="A389" s="1">
        <v>45940.300601202398</v>
      </c>
      <c r="B389" t="s">
        <v>9</v>
      </c>
      <c r="C389" t="s">
        <v>18</v>
      </c>
      <c r="D389">
        <v>53</v>
      </c>
      <c r="E389" s="2">
        <v>1598</v>
      </c>
      <c r="F389">
        <v>1</v>
      </c>
      <c r="G389" t="s">
        <v>19</v>
      </c>
      <c r="H389" t="s">
        <v>23</v>
      </c>
      <c r="I389" s="2">
        <v>84694</v>
      </c>
    </row>
    <row r="390" spans="1:9">
      <c r="A390" s="1">
        <v>45941.030060120233</v>
      </c>
      <c r="B390" t="s">
        <v>16</v>
      </c>
      <c r="C390" t="s">
        <v>18</v>
      </c>
      <c r="D390">
        <v>52</v>
      </c>
      <c r="E390" s="2">
        <v>1138</v>
      </c>
      <c r="F390">
        <v>1</v>
      </c>
      <c r="G390" t="s">
        <v>19</v>
      </c>
      <c r="H390" t="s">
        <v>22</v>
      </c>
      <c r="I390" s="2">
        <v>59176</v>
      </c>
    </row>
    <row r="391" spans="1:9">
      <c r="A391" s="1">
        <v>45941.759519038067</v>
      </c>
      <c r="B391" t="s">
        <v>16</v>
      </c>
      <c r="C391" t="s">
        <v>18</v>
      </c>
      <c r="D391">
        <v>35</v>
      </c>
      <c r="E391" s="2">
        <v>1111</v>
      </c>
      <c r="F391">
        <v>1</v>
      </c>
      <c r="G391" t="s">
        <v>20</v>
      </c>
      <c r="H391" t="s">
        <v>23</v>
      </c>
      <c r="I391" s="2">
        <v>38885</v>
      </c>
    </row>
    <row r="392" spans="1:9">
      <c r="A392" s="1">
        <v>45942.488977955902</v>
      </c>
      <c r="B392" t="s">
        <v>12</v>
      </c>
      <c r="C392" t="s">
        <v>17</v>
      </c>
      <c r="D392">
        <v>112</v>
      </c>
      <c r="E392" s="2">
        <v>1065</v>
      </c>
      <c r="F392">
        <v>4</v>
      </c>
      <c r="G392" t="s">
        <v>19</v>
      </c>
      <c r="H392" t="s">
        <v>22</v>
      </c>
      <c r="I392" s="2">
        <v>119280</v>
      </c>
    </row>
    <row r="393" spans="1:9">
      <c r="A393" s="1">
        <v>45943.218436873743</v>
      </c>
      <c r="B393" t="s">
        <v>12</v>
      </c>
      <c r="C393" t="s">
        <v>17</v>
      </c>
      <c r="D393">
        <v>149</v>
      </c>
      <c r="E393" s="2">
        <v>996</v>
      </c>
      <c r="F393">
        <v>4</v>
      </c>
      <c r="G393" t="s">
        <v>21</v>
      </c>
      <c r="H393" t="s">
        <v>23</v>
      </c>
      <c r="I393" s="2">
        <v>148404</v>
      </c>
    </row>
    <row r="394" spans="1:9">
      <c r="A394" s="1">
        <v>45943.947895791571</v>
      </c>
      <c r="B394" t="s">
        <v>13</v>
      </c>
      <c r="C394" t="s">
        <v>17</v>
      </c>
      <c r="D394">
        <v>147</v>
      </c>
      <c r="E394" s="2">
        <v>1185</v>
      </c>
      <c r="F394">
        <v>3</v>
      </c>
      <c r="G394" t="s">
        <v>21</v>
      </c>
      <c r="H394" t="s">
        <v>23</v>
      </c>
      <c r="I394" s="2">
        <v>174195</v>
      </c>
    </row>
    <row r="395" spans="1:9">
      <c r="A395" s="1">
        <v>45944.677354709413</v>
      </c>
      <c r="B395" t="s">
        <v>13</v>
      </c>
      <c r="C395" t="s">
        <v>17</v>
      </c>
      <c r="D395">
        <v>148</v>
      </c>
      <c r="E395" s="2">
        <v>1017</v>
      </c>
      <c r="F395">
        <v>4</v>
      </c>
      <c r="G395" t="s">
        <v>20</v>
      </c>
      <c r="H395" t="s">
        <v>22</v>
      </c>
      <c r="I395" s="2">
        <v>150516</v>
      </c>
    </row>
    <row r="396" spans="1:9">
      <c r="A396" s="1">
        <v>45945.406813627247</v>
      </c>
      <c r="B396" t="s">
        <v>12</v>
      </c>
      <c r="C396" t="s">
        <v>17</v>
      </c>
      <c r="D396">
        <v>97</v>
      </c>
      <c r="E396" s="2">
        <v>941</v>
      </c>
      <c r="F396">
        <v>1</v>
      </c>
      <c r="G396" t="s">
        <v>21</v>
      </c>
      <c r="H396" t="s">
        <v>22</v>
      </c>
      <c r="I396" s="2">
        <v>91277</v>
      </c>
    </row>
    <row r="397" spans="1:9">
      <c r="A397" s="1">
        <v>45946.136272545082</v>
      </c>
      <c r="B397" t="s">
        <v>10</v>
      </c>
      <c r="C397" t="s">
        <v>18</v>
      </c>
      <c r="D397">
        <v>166</v>
      </c>
      <c r="E397" s="2">
        <v>1202</v>
      </c>
      <c r="F397">
        <v>1</v>
      </c>
      <c r="G397" t="s">
        <v>21</v>
      </c>
      <c r="H397" t="s">
        <v>23</v>
      </c>
      <c r="I397" s="2">
        <v>199532</v>
      </c>
    </row>
    <row r="398" spans="1:9">
      <c r="A398" s="1">
        <v>45946.865731462924</v>
      </c>
      <c r="B398" t="s">
        <v>13</v>
      </c>
      <c r="C398" t="s">
        <v>17</v>
      </c>
      <c r="D398">
        <v>163</v>
      </c>
      <c r="E398" s="2">
        <v>1420</v>
      </c>
      <c r="F398">
        <v>4</v>
      </c>
      <c r="G398" t="s">
        <v>19</v>
      </c>
      <c r="H398" t="s">
        <v>22</v>
      </c>
      <c r="I398" s="2">
        <v>231460</v>
      </c>
    </row>
    <row r="399" spans="1:9">
      <c r="A399" s="1">
        <v>45947.595190380751</v>
      </c>
      <c r="B399" t="s">
        <v>15</v>
      </c>
      <c r="C399" t="s">
        <v>18</v>
      </c>
      <c r="D399">
        <v>42</v>
      </c>
      <c r="E399" s="2">
        <v>1420</v>
      </c>
      <c r="F399">
        <v>2</v>
      </c>
      <c r="G399" t="s">
        <v>21</v>
      </c>
      <c r="H399" t="s">
        <v>22</v>
      </c>
      <c r="I399" s="2">
        <v>59640</v>
      </c>
    </row>
    <row r="400" spans="1:9">
      <c r="A400" s="1">
        <v>45948.324649298593</v>
      </c>
      <c r="B400" t="s">
        <v>13</v>
      </c>
      <c r="C400" t="s">
        <v>17</v>
      </c>
      <c r="D400">
        <v>191</v>
      </c>
      <c r="E400" s="2">
        <v>1665</v>
      </c>
      <c r="F400">
        <v>4</v>
      </c>
      <c r="G400" t="s">
        <v>20</v>
      </c>
      <c r="H400" t="s">
        <v>22</v>
      </c>
      <c r="I400" s="2">
        <v>318015</v>
      </c>
    </row>
    <row r="401" spans="1:9">
      <c r="A401" s="1">
        <v>45949.05410821642</v>
      </c>
      <c r="B401" t="s">
        <v>16</v>
      </c>
      <c r="C401" t="s">
        <v>17</v>
      </c>
      <c r="D401">
        <v>89</v>
      </c>
      <c r="E401" s="2">
        <v>1530</v>
      </c>
      <c r="F401">
        <v>4</v>
      </c>
      <c r="G401" t="s">
        <v>19</v>
      </c>
      <c r="H401" t="s">
        <v>22</v>
      </c>
      <c r="I401" s="2">
        <v>136170</v>
      </c>
    </row>
    <row r="402" spans="1:9">
      <c r="A402" s="1">
        <v>45949.783567134262</v>
      </c>
      <c r="B402" t="s">
        <v>13</v>
      </c>
      <c r="C402" t="s">
        <v>17</v>
      </c>
      <c r="D402">
        <v>137</v>
      </c>
      <c r="E402" s="2">
        <v>1630</v>
      </c>
      <c r="F402">
        <v>1</v>
      </c>
      <c r="G402" t="s">
        <v>19</v>
      </c>
      <c r="H402" t="s">
        <v>22</v>
      </c>
      <c r="I402" s="2">
        <v>223310</v>
      </c>
    </row>
    <row r="403" spans="1:9">
      <c r="A403" s="1">
        <v>45950.513026052096</v>
      </c>
      <c r="B403" t="s">
        <v>10</v>
      </c>
      <c r="C403" t="s">
        <v>17</v>
      </c>
      <c r="D403">
        <v>165</v>
      </c>
      <c r="E403" s="2">
        <v>1212</v>
      </c>
      <c r="F403">
        <v>3</v>
      </c>
      <c r="G403" t="s">
        <v>20</v>
      </c>
      <c r="H403" t="s">
        <v>23</v>
      </c>
      <c r="I403" s="2">
        <v>199980</v>
      </c>
    </row>
    <row r="404" spans="1:9">
      <c r="A404" s="1">
        <v>45951.242484969931</v>
      </c>
      <c r="B404" t="s">
        <v>12</v>
      </c>
      <c r="C404" t="s">
        <v>18</v>
      </c>
      <c r="D404">
        <v>66</v>
      </c>
      <c r="E404" s="2">
        <v>1406</v>
      </c>
      <c r="F404">
        <v>1</v>
      </c>
      <c r="G404" t="s">
        <v>19</v>
      </c>
      <c r="H404" t="s">
        <v>23</v>
      </c>
      <c r="I404" s="2">
        <v>92796</v>
      </c>
    </row>
    <row r="405" spans="1:9">
      <c r="A405" s="1">
        <v>45951.971943887773</v>
      </c>
      <c r="B405" t="s">
        <v>16</v>
      </c>
      <c r="C405" t="s">
        <v>17</v>
      </c>
      <c r="D405">
        <v>44</v>
      </c>
      <c r="E405" s="2">
        <v>1194</v>
      </c>
      <c r="F405">
        <v>3</v>
      </c>
      <c r="G405" t="s">
        <v>19</v>
      </c>
      <c r="H405" t="s">
        <v>22</v>
      </c>
      <c r="I405" s="2">
        <v>52536</v>
      </c>
    </row>
    <row r="406" spans="1:9">
      <c r="A406" s="1">
        <v>45952.7014028056</v>
      </c>
      <c r="B406" t="s">
        <v>13</v>
      </c>
      <c r="C406" t="s">
        <v>17</v>
      </c>
      <c r="D406">
        <v>144</v>
      </c>
      <c r="E406" s="2">
        <v>1542</v>
      </c>
      <c r="F406">
        <v>1</v>
      </c>
      <c r="G406" t="s">
        <v>20</v>
      </c>
      <c r="H406" t="s">
        <v>23</v>
      </c>
      <c r="I406" s="2">
        <v>222048</v>
      </c>
    </row>
    <row r="407" spans="1:9">
      <c r="A407" s="1">
        <v>45953.430861723427</v>
      </c>
      <c r="B407" t="s">
        <v>10</v>
      </c>
      <c r="C407" t="s">
        <v>18</v>
      </c>
      <c r="D407">
        <v>196</v>
      </c>
      <c r="E407" s="2">
        <v>1019</v>
      </c>
      <c r="F407">
        <v>4</v>
      </c>
      <c r="G407" t="s">
        <v>19</v>
      </c>
      <c r="H407" t="s">
        <v>23</v>
      </c>
      <c r="I407" s="2">
        <v>199724</v>
      </c>
    </row>
    <row r="408" spans="1:9">
      <c r="A408" s="1">
        <v>45954.160320641276</v>
      </c>
      <c r="B408" t="s">
        <v>15</v>
      </c>
      <c r="C408" t="s">
        <v>17</v>
      </c>
      <c r="D408">
        <v>158</v>
      </c>
      <c r="E408" s="2">
        <v>1205</v>
      </c>
      <c r="F408">
        <v>1</v>
      </c>
      <c r="G408" t="s">
        <v>20</v>
      </c>
      <c r="H408" t="s">
        <v>22</v>
      </c>
      <c r="I408" s="2">
        <v>190390</v>
      </c>
    </row>
    <row r="409" spans="1:9">
      <c r="A409" s="1">
        <v>45954.889779559111</v>
      </c>
      <c r="B409" t="s">
        <v>13</v>
      </c>
      <c r="C409" t="s">
        <v>17</v>
      </c>
      <c r="D409">
        <v>121</v>
      </c>
      <c r="E409" s="2">
        <v>1040</v>
      </c>
      <c r="F409">
        <v>1</v>
      </c>
      <c r="G409" t="s">
        <v>20</v>
      </c>
      <c r="H409" t="s">
        <v>23</v>
      </c>
      <c r="I409" s="2">
        <v>125840</v>
      </c>
    </row>
    <row r="410" spans="1:9">
      <c r="A410" s="1">
        <v>45955.619238476953</v>
      </c>
      <c r="B410" t="s">
        <v>10</v>
      </c>
      <c r="C410" t="s">
        <v>17</v>
      </c>
      <c r="D410">
        <v>89</v>
      </c>
      <c r="E410" s="2">
        <v>1516</v>
      </c>
      <c r="F410">
        <v>1</v>
      </c>
      <c r="G410" t="s">
        <v>21</v>
      </c>
      <c r="H410" t="s">
        <v>22</v>
      </c>
      <c r="I410" s="2">
        <v>134924</v>
      </c>
    </row>
    <row r="411" spans="1:9">
      <c r="A411" s="1">
        <v>45956.34869739478</v>
      </c>
      <c r="B411" t="s">
        <v>15</v>
      </c>
      <c r="C411" t="s">
        <v>17</v>
      </c>
      <c r="D411">
        <v>66</v>
      </c>
      <c r="E411" s="2">
        <v>1271</v>
      </c>
      <c r="F411">
        <v>4</v>
      </c>
      <c r="G411" t="s">
        <v>21</v>
      </c>
      <c r="H411" t="s">
        <v>22</v>
      </c>
      <c r="I411" s="2">
        <v>83886</v>
      </c>
    </row>
    <row r="412" spans="1:9">
      <c r="A412" s="1">
        <v>45957.078156312607</v>
      </c>
      <c r="B412" t="s">
        <v>12</v>
      </c>
      <c r="C412" t="s">
        <v>17</v>
      </c>
      <c r="D412">
        <v>169</v>
      </c>
      <c r="E412" s="2">
        <v>1549</v>
      </c>
      <c r="F412">
        <v>4</v>
      </c>
      <c r="G412" t="s">
        <v>19</v>
      </c>
      <c r="H412" t="s">
        <v>23</v>
      </c>
      <c r="I412" s="2">
        <v>261781</v>
      </c>
    </row>
    <row r="413" spans="1:9">
      <c r="A413" s="1">
        <v>45957.807615230449</v>
      </c>
      <c r="B413" t="s">
        <v>13</v>
      </c>
      <c r="C413" t="s">
        <v>18</v>
      </c>
      <c r="D413">
        <v>127</v>
      </c>
      <c r="E413" s="2">
        <v>856</v>
      </c>
      <c r="F413">
        <v>4</v>
      </c>
      <c r="G413" t="s">
        <v>19</v>
      </c>
      <c r="H413" t="s">
        <v>22</v>
      </c>
      <c r="I413" s="2">
        <v>108712</v>
      </c>
    </row>
    <row r="414" spans="1:9">
      <c r="A414" s="1">
        <v>45958.537074148277</v>
      </c>
      <c r="B414" t="s">
        <v>15</v>
      </c>
      <c r="C414" t="s">
        <v>17</v>
      </c>
      <c r="D414">
        <v>42</v>
      </c>
      <c r="E414" s="2">
        <v>982</v>
      </c>
      <c r="F414">
        <v>4</v>
      </c>
      <c r="G414" t="s">
        <v>20</v>
      </c>
      <c r="H414" t="s">
        <v>22</v>
      </c>
      <c r="I414" s="2">
        <v>41244</v>
      </c>
    </row>
    <row r="415" spans="1:9">
      <c r="A415" s="1">
        <v>45959.266533066133</v>
      </c>
      <c r="B415" t="s">
        <v>16</v>
      </c>
      <c r="C415" t="s">
        <v>17</v>
      </c>
      <c r="D415">
        <v>99</v>
      </c>
      <c r="E415" s="2">
        <v>1596</v>
      </c>
      <c r="F415">
        <v>3</v>
      </c>
      <c r="G415" t="s">
        <v>19</v>
      </c>
      <c r="H415" t="s">
        <v>22</v>
      </c>
      <c r="I415" s="2">
        <v>158004</v>
      </c>
    </row>
    <row r="416" spans="1:9">
      <c r="A416" s="1">
        <v>45959.99599198396</v>
      </c>
      <c r="B416" t="s">
        <v>12</v>
      </c>
      <c r="C416" t="s">
        <v>17</v>
      </c>
      <c r="D416">
        <v>91</v>
      </c>
      <c r="E416" s="2">
        <v>1406</v>
      </c>
      <c r="F416">
        <v>3</v>
      </c>
      <c r="G416" t="s">
        <v>20</v>
      </c>
      <c r="H416" t="s">
        <v>22</v>
      </c>
      <c r="I416" s="2">
        <v>127946</v>
      </c>
    </row>
    <row r="417" spans="1:9">
      <c r="A417" s="1">
        <v>45960.725450901788</v>
      </c>
      <c r="B417" t="s">
        <v>16</v>
      </c>
      <c r="C417" t="s">
        <v>17</v>
      </c>
      <c r="D417">
        <v>101</v>
      </c>
      <c r="E417" s="2">
        <v>1675</v>
      </c>
      <c r="F417">
        <v>2</v>
      </c>
      <c r="G417" t="s">
        <v>20</v>
      </c>
      <c r="H417" t="s">
        <v>22</v>
      </c>
      <c r="I417" s="2">
        <v>169175</v>
      </c>
    </row>
    <row r="418" spans="1:9">
      <c r="A418" s="1">
        <v>45961.454909819629</v>
      </c>
      <c r="B418" t="s">
        <v>11</v>
      </c>
      <c r="C418" t="s">
        <v>17</v>
      </c>
      <c r="D418">
        <v>106</v>
      </c>
      <c r="E418" s="2">
        <v>1610</v>
      </c>
      <c r="F418">
        <v>4</v>
      </c>
      <c r="G418" t="s">
        <v>19</v>
      </c>
      <c r="H418" t="s">
        <v>23</v>
      </c>
      <c r="I418" s="2">
        <v>170660</v>
      </c>
    </row>
    <row r="419" spans="1:9">
      <c r="A419" s="1">
        <v>45962.184368737457</v>
      </c>
      <c r="B419" t="s">
        <v>14</v>
      </c>
      <c r="C419" t="s">
        <v>17</v>
      </c>
      <c r="D419">
        <v>88</v>
      </c>
      <c r="E419" s="2">
        <v>880</v>
      </c>
      <c r="F419">
        <v>3</v>
      </c>
      <c r="G419" t="s">
        <v>20</v>
      </c>
      <c r="H419" t="s">
        <v>23</v>
      </c>
      <c r="I419" s="2">
        <v>77440</v>
      </c>
    </row>
    <row r="420" spans="1:9">
      <c r="A420" s="1">
        <v>45962.913827655299</v>
      </c>
      <c r="B420" t="s">
        <v>13</v>
      </c>
      <c r="C420" t="s">
        <v>18</v>
      </c>
      <c r="D420">
        <v>101</v>
      </c>
      <c r="E420" s="2">
        <v>1384</v>
      </c>
      <c r="F420">
        <v>1</v>
      </c>
      <c r="G420" t="s">
        <v>21</v>
      </c>
      <c r="H420" t="s">
        <v>22</v>
      </c>
      <c r="I420" s="2">
        <v>139784</v>
      </c>
    </row>
    <row r="421" spans="1:9">
      <c r="A421" s="1">
        <v>45963.643286573133</v>
      </c>
      <c r="B421" t="s">
        <v>15</v>
      </c>
      <c r="C421" t="s">
        <v>17</v>
      </c>
      <c r="D421">
        <v>85</v>
      </c>
      <c r="E421" s="2">
        <v>1275</v>
      </c>
      <c r="F421">
        <v>4</v>
      </c>
      <c r="G421" t="s">
        <v>19</v>
      </c>
      <c r="H421" t="s">
        <v>22</v>
      </c>
      <c r="I421" s="2">
        <v>108375</v>
      </c>
    </row>
    <row r="422" spans="1:9">
      <c r="A422" s="1">
        <v>45964.372745490968</v>
      </c>
      <c r="B422" t="s">
        <v>14</v>
      </c>
      <c r="C422" t="s">
        <v>17</v>
      </c>
      <c r="D422">
        <v>131</v>
      </c>
      <c r="E422" s="2">
        <v>1243</v>
      </c>
      <c r="F422">
        <v>2</v>
      </c>
      <c r="G422" t="s">
        <v>21</v>
      </c>
      <c r="H422" t="s">
        <v>23</v>
      </c>
      <c r="I422" s="2">
        <v>162833</v>
      </c>
    </row>
    <row r="423" spans="1:9">
      <c r="A423" s="1">
        <v>45965.102204408809</v>
      </c>
      <c r="B423" t="s">
        <v>14</v>
      </c>
      <c r="C423" t="s">
        <v>17</v>
      </c>
      <c r="D423">
        <v>126</v>
      </c>
      <c r="E423" s="2">
        <v>1521</v>
      </c>
      <c r="F423">
        <v>2</v>
      </c>
      <c r="G423" t="s">
        <v>19</v>
      </c>
      <c r="H423" t="s">
        <v>22</v>
      </c>
      <c r="I423" s="2">
        <v>191646</v>
      </c>
    </row>
    <row r="424" spans="1:9">
      <c r="A424" s="1">
        <v>45965.831663326637</v>
      </c>
      <c r="B424" t="s">
        <v>15</v>
      </c>
      <c r="C424" t="s">
        <v>17</v>
      </c>
      <c r="D424">
        <v>42</v>
      </c>
      <c r="E424" s="2">
        <v>1212</v>
      </c>
      <c r="F424">
        <v>2</v>
      </c>
      <c r="G424" t="s">
        <v>20</v>
      </c>
      <c r="H424" t="s">
        <v>23</v>
      </c>
      <c r="I424" s="2">
        <v>50904</v>
      </c>
    </row>
    <row r="425" spans="1:9">
      <c r="A425" s="1">
        <v>45966.561122244479</v>
      </c>
      <c r="B425" t="s">
        <v>12</v>
      </c>
      <c r="C425" t="s">
        <v>18</v>
      </c>
      <c r="D425">
        <v>196</v>
      </c>
      <c r="E425" s="2">
        <v>1286</v>
      </c>
      <c r="F425">
        <v>1</v>
      </c>
      <c r="G425" t="s">
        <v>19</v>
      </c>
      <c r="H425" t="s">
        <v>22</v>
      </c>
      <c r="I425" s="2">
        <v>252056</v>
      </c>
    </row>
    <row r="426" spans="1:9">
      <c r="A426" s="1">
        <v>45967.290581162313</v>
      </c>
      <c r="B426" t="s">
        <v>13</v>
      </c>
      <c r="C426" t="s">
        <v>17</v>
      </c>
      <c r="D426">
        <v>69</v>
      </c>
      <c r="E426" s="2">
        <v>1519</v>
      </c>
      <c r="F426">
        <v>3</v>
      </c>
      <c r="G426" t="s">
        <v>21</v>
      </c>
      <c r="H426" t="s">
        <v>22</v>
      </c>
      <c r="I426" s="2">
        <v>104811</v>
      </c>
    </row>
    <row r="427" spans="1:9">
      <c r="A427" s="1">
        <v>45968.020040080148</v>
      </c>
      <c r="B427" t="s">
        <v>11</v>
      </c>
      <c r="C427" t="s">
        <v>17</v>
      </c>
      <c r="D427">
        <v>130</v>
      </c>
      <c r="E427" s="2">
        <v>1400</v>
      </c>
      <c r="F427">
        <v>1</v>
      </c>
      <c r="G427" t="s">
        <v>20</v>
      </c>
      <c r="H427" t="s">
        <v>22</v>
      </c>
      <c r="I427" s="2">
        <v>182000</v>
      </c>
    </row>
    <row r="428" spans="1:9">
      <c r="A428" s="1">
        <v>45968.74949899799</v>
      </c>
      <c r="B428" t="s">
        <v>16</v>
      </c>
      <c r="C428" t="s">
        <v>17</v>
      </c>
      <c r="D428">
        <v>122</v>
      </c>
      <c r="E428" s="2">
        <v>1776</v>
      </c>
      <c r="F428">
        <v>4</v>
      </c>
      <c r="G428" t="s">
        <v>19</v>
      </c>
      <c r="H428" t="s">
        <v>22</v>
      </c>
      <c r="I428" s="2">
        <v>216672</v>
      </c>
    </row>
    <row r="429" spans="1:9">
      <c r="A429" s="1">
        <v>45969.478957915817</v>
      </c>
      <c r="B429" t="s">
        <v>10</v>
      </c>
      <c r="C429" t="s">
        <v>17</v>
      </c>
      <c r="D429">
        <v>112</v>
      </c>
      <c r="E429" s="2">
        <v>931</v>
      </c>
      <c r="F429">
        <v>2</v>
      </c>
      <c r="G429" t="s">
        <v>19</v>
      </c>
      <c r="H429" t="s">
        <v>22</v>
      </c>
      <c r="I429" s="2">
        <v>104272</v>
      </c>
    </row>
    <row r="430" spans="1:9">
      <c r="A430" s="1">
        <v>45970.208416833659</v>
      </c>
      <c r="B430" t="s">
        <v>16</v>
      </c>
      <c r="C430" t="s">
        <v>17</v>
      </c>
      <c r="D430">
        <v>66</v>
      </c>
      <c r="E430" s="2">
        <v>1205</v>
      </c>
      <c r="F430">
        <v>1</v>
      </c>
      <c r="G430" t="s">
        <v>19</v>
      </c>
      <c r="H430" t="s">
        <v>22</v>
      </c>
      <c r="I430" s="2">
        <v>79530</v>
      </c>
    </row>
    <row r="431" spans="1:9">
      <c r="A431" s="1">
        <v>45970.937875751493</v>
      </c>
      <c r="B431" t="s">
        <v>10</v>
      </c>
      <c r="C431" t="s">
        <v>17</v>
      </c>
      <c r="D431">
        <v>154</v>
      </c>
      <c r="E431" s="2">
        <v>1107</v>
      </c>
      <c r="F431">
        <v>1</v>
      </c>
      <c r="G431" t="s">
        <v>21</v>
      </c>
      <c r="H431" t="s">
        <v>22</v>
      </c>
      <c r="I431" s="2">
        <v>170478</v>
      </c>
    </row>
    <row r="432" spans="1:9">
      <c r="A432" s="1">
        <v>45971.667334669328</v>
      </c>
      <c r="B432" t="s">
        <v>16</v>
      </c>
      <c r="C432" t="s">
        <v>18</v>
      </c>
      <c r="D432">
        <v>80</v>
      </c>
      <c r="E432" s="2">
        <v>1567</v>
      </c>
      <c r="F432">
        <v>3</v>
      </c>
      <c r="G432" t="s">
        <v>21</v>
      </c>
      <c r="H432" t="s">
        <v>23</v>
      </c>
      <c r="I432" s="2">
        <v>125360</v>
      </c>
    </row>
    <row r="433" spans="1:9">
      <c r="A433" s="1">
        <v>45972.396793587162</v>
      </c>
      <c r="B433" t="s">
        <v>15</v>
      </c>
      <c r="C433" t="s">
        <v>18</v>
      </c>
      <c r="D433">
        <v>178</v>
      </c>
      <c r="E433" s="2">
        <v>1438</v>
      </c>
      <c r="F433">
        <v>3</v>
      </c>
      <c r="G433" t="s">
        <v>19</v>
      </c>
      <c r="H433" t="s">
        <v>23</v>
      </c>
      <c r="I433" s="2">
        <v>255964</v>
      </c>
    </row>
    <row r="434" spans="1:9">
      <c r="A434" s="1">
        <v>45973.126252504997</v>
      </c>
      <c r="B434" t="s">
        <v>11</v>
      </c>
      <c r="C434" t="s">
        <v>17</v>
      </c>
      <c r="D434">
        <v>199</v>
      </c>
      <c r="E434" s="2">
        <v>1838</v>
      </c>
      <c r="F434">
        <v>2</v>
      </c>
      <c r="G434" t="s">
        <v>20</v>
      </c>
      <c r="H434" t="s">
        <v>23</v>
      </c>
      <c r="I434" s="2">
        <v>365762</v>
      </c>
    </row>
    <row r="435" spans="1:9">
      <c r="A435" s="1">
        <v>45973.855711422839</v>
      </c>
      <c r="B435" t="s">
        <v>13</v>
      </c>
      <c r="C435" t="s">
        <v>17</v>
      </c>
      <c r="D435">
        <v>176</v>
      </c>
      <c r="E435" s="2">
        <v>1373</v>
      </c>
      <c r="F435">
        <v>1</v>
      </c>
      <c r="G435" t="s">
        <v>20</v>
      </c>
      <c r="H435" t="s">
        <v>22</v>
      </c>
      <c r="I435" s="2">
        <v>241648</v>
      </c>
    </row>
    <row r="436" spans="1:9">
      <c r="A436" s="1">
        <v>45974.585170340673</v>
      </c>
      <c r="B436" t="s">
        <v>10</v>
      </c>
      <c r="C436" t="s">
        <v>17</v>
      </c>
      <c r="D436">
        <v>89</v>
      </c>
      <c r="E436" s="2">
        <v>1144</v>
      </c>
      <c r="F436">
        <v>1</v>
      </c>
      <c r="G436" t="s">
        <v>21</v>
      </c>
      <c r="H436" t="s">
        <v>22</v>
      </c>
      <c r="I436" s="2">
        <v>101816</v>
      </c>
    </row>
    <row r="437" spans="1:9">
      <c r="A437" s="1">
        <v>45975.314629258508</v>
      </c>
      <c r="B437" t="s">
        <v>13</v>
      </c>
      <c r="C437" t="s">
        <v>18</v>
      </c>
      <c r="D437">
        <v>41</v>
      </c>
      <c r="E437" s="2">
        <v>1811</v>
      </c>
      <c r="F437">
        <v>3</v>
      </c>
      <c r="G437" t="s">
        <v>20</v>
      </c>
      <c r="H437" t="s">
        <v>22</v>
      </c>
      <c r="I437" s="2">
        <v>74251</v>
      </c>
    </row>
    <row r="438" spans="1:9">
      <c r="A438" s="1">
        <v>45976.044088176342</v>
      </c>
      <c r="B438" t="s">
        <v>13</v>
      </c>
      <c r="C438" t="s">
        <v>17</v>
      </c>
      <c r="D438">
        <v>108</v>
      </c>
      <c r="E438" s="2">
        <v>1073</v>
      </c>
      <c r="F438">
        <v>1</v>
      </c>
      <c r="G438" t="s">
        <v>21</v>
      </c>
      <c r="H438" t="s">
        <v>22</v>
      </c>
      <c r="I438" s="2">
        <v>115884</v>
      </c>
    </row>
    <row r="439" spans="1:9">
      <c r="A439" s="1">
        <v>45976.773547094177</v>
      </c>
      <c r="B439" t="s">
        <v>13</v>
      </c>
      <c r="C439" t="s">
        <v>18</v>
      </c>
      <c r="D439">
        <v>41</v>
      </c>
      <c r="E439" s="2">
        <v>1374</v>
      </c>
      <c r="F439">
        <v>1</v>
      </c>
      <c r="G439" t="s">
        <v>19</v>
      </c>
      <c r="H439" t="s">
        <v>22</v>
      </c>
      <c r="I439" s="2">
        <v>56334</v>
      </c>
    </row>
    <row r="440" spans="1:9">
      <c r="A440" s="1">
        <v>45977.503006012012</v>
      </c>
      <c r="B440" t="s">
        <v>9</v>
      </c>
      <c r="C440" t="s">
        <v>17</v>
      </c>
      <c r="D440">
        <v>195</v>
      </c>
      <c r="E440" s="2">
        <v>895</v>
      </c>
      <c r="F440">
        <v>1</v>
      </c>
      <c r="G440" t="s">
        <v>21</v>
      </c>
      <c r="H440" t="s">
        <v>22</v>
      </c>
      <c r="I440" s="2">
        <v>174525</v>
      </c>
    </row>
    <row r="441" spans="1:9">
      <c r="A441" s="1">
        <v>45978.232464929853</v>
      </c>
      <c r="B441" t="s">
        <v>12</v>
      </c>
      <c r="C441" t="s">
        <v>17</v>
      </c>
      <c r="D441">
        <v>185</v>
      </c>
      <c r="E441" s="2">
        <v>1516</v>
      </c>
      <c r="F441">
        <v>3</v>
      </c>
      <c r="G441" t="s">
        <v>21</v>
      </c>
      <c r="H441" t="s">
        <v>22</v>
      </c>
      <c r="I441" s="2">
        <v>280460</v>
      </c>
    </row>
    <row r="442" spans="1:9">
      <c r="A442" s="1">
        <v>45978.961923847688</v>
      </c>
      <c r="B442" t="s">
        <v>16</v>
      </c>
      <c r="C442" t="s">
        <v>17</v>
      </c>
      <c r="D442">
        <v>119</v>
      </c>
      <c r="E442" s="2">
        <v>962</v>
      </c>
      <c r="F442">
        <v>2</v>
      </c>
      <c r="G442" t="s">
        <v>19</v>
      </c>
      <c r="H442" t="s">
        <v>23</v>
      </c>
      <c r="I442" s="2">
        <v>114478</v>
      </c>
    </row>
    <row r="443" spans="1:9">
      <c r="A443" s="1">
        <v>45979.691382765523</v>
      </c>
      <c r="B443" t="s">
        <v>13</v>
      </c>
      <c r="C443" t="s">
        <v>17</v>
      </c>
      <c r="D443">
        <v>181</v>
      </c>
      <c r="E443" s="2">
        <v>1082</v>
      </c>
      <c r="F443">
        <v>4</v>
      </c>
      <c r="G443" t="s">
        <v>20</v>
      </c>
      <c r="H443" t="s">
        <v>22</v>
      </c>
      <c r="I443" s="2">
        <v>195842</v>
      </c>
    </row>
    <row r="444" spans="1:9">
      <c r="A444" s="1">
        <v>45980.420841683357</v>
      </c>
      <c r="B444" t="s">
        <v>16</v>
      </c>
      <c r="C444" t="s">
        <v>18</v>
      </c>
      <c r="D444">
        <v>146</v>
      </c>
      <c r="E444" s="2">
        <v>866</v>
      </c>
      <c r="F444">
        <v>2</v>
      </c>
      <c r="G444" t="s">
        <v>21</v>
      </c>
      <c r="H444" t="s">
        <v>23</v>
      </c>
      <c r="I444" s="2">
        <v>126436</v>
      </c>
    </row>
    <row r="445" spans="1:9">
      <c r="A445" s="1">
        <v>45981.150300601192</v>
      </c>
      <c r="B445" t="s">
        <v>13</v>
      </c>
      <c r="C445" t="s">
        <v>17</v>
      </c>
      <c r="D445">
        <v>159</v>
      </c>
      <c r="E445" s="2">
        <v>1209</v>
      </c>
      <c r="F445">
        <v>4</v>
      </c>
      <c r="G445" t="s">
        <v>21</v>
      </c>
      <c r="H445" t="s">
        <v>23</v>
      </c>
      <c r="I445" s="2">
        <v>192231</v>
      </c>
    </row>
    <row r="446" spans="1:9">
      <c r="A446" s="1">
        <v>45981.879759519034</v>
      </c>
      <c r="B446" t="s">
        <v>10</v>
      </c>
      <c r="C446" t="s">
        <v>17</v>
      </c>
      <c r="D446">
        <v>181</v>
      </c>
      <c r="E446" s="2">
        <v>1072</v>
      </c>
      <c r="F446">
        <v>1</v>
      </c>
      <c r="G446" t="s">
        <v>19</v>
      </c>
      <c r="H446" t="s">
        <v>22</v>
      </c>
      <c r="I446" s="2">
        <v>194032</v>
      </c>
    </row>
    <row r="447" spans="1:9">
      <c r="A447" s="1">
        <v>45982.609218436861</v>
      </c>
      <c r="B447" t="s">
        <v>12</v>
      </c>
      <c r="C447" t="s">
        <v>18</v>
      </c>
      <c r="D447">
        <v>70</v>
      </c>
      <c r="E447" s="2">
        <v>1715</v>
      </c>
      <c r="F447">
        <v>2</v>
      </c>
      <c r="G447" t="s">
        <v>20</v>
      </c>
      <c r="H447" t="s">
        <v>22</v>
      </c>
      <c r="I447" s="2">
        <v>120050</v>
      </c>
    </row>
    <row r="448" spans="1:9">
      <c r="A448" s="1">
        <v>45983.338677354703</v>
      </c>
      <c r="B448" t="s">
        <v>12</v>
      </c>
      <c r="C448" t="s">
        <v>17</v>
      </c>
      <c r="D448">
        <v>63</v>
      </c>
      <c r="E448" s="2">
        <v>1549</v>
      </c>
      <c r="F448">
        <v>4</v>
      </c>
      <c r="G448" t="s">
        <v>21</v>
      </c>
      <c r="H448" t="s">
        <v>23</v>
      </c>
      <c r="I448" s="2">
        <v>97587</v>
      </c>
    </row>
    <row r="449" spans="1:9">
      <c r="A449" s="1">
        <v>45984.068136272537</v>
      </c>
      <c r="B449" t="s">
        <v>15</v>
      </c>
      <c r="C449" t="s">
        <v>17</v>
      </c>
      <c r="D449">
        <v>116</v>
      </c>
      <c r="E449" s="2">
        <v>1297</v>
      </c>
      <c r="F449">
        <v>3</v>
      </c>
      <c r="G449" t="s">
        <v>19</v>
      </c>
      <c r="H449" t="s">
        <v>23</v>
      </c>
      <c r="I449" s="2">
        <v>150452</v>
      </c>
    </row>
    <row r="450" spans="1:9">
      <c r="A450" s="1">
        <v>45984.797595190372</v>
      </c>
      <c r="B450" t="s">
        <v>9</v>
      </c>
      <c r="C450" t="s">
        <v>18</v>
      </c>
      <c r="D450">
        <v>36</v>
      </c>
      <c r="E450" s="2">
        <v>1705</v>
      </c>
      <c r="F450">
        <v>3</v>
      </c>
      <c r="G450" t="s">
        <v>21</v>
      </c>
      <c r="H450" t="s">
        <v>22</v>
      </c>
      <c r="I450" s="2">
        <v>61380</v>
      </c>
    </row>
    <row r="451" spans="1:9">
      <c r="A451" s="1">
        <v>45985.527054108214</v>
      </c>
      <c r="B451" t="s">
        <v>15</v>
      </c>
      <c r="C451" t="s">
        <v>18</v>
      </c>
      <c r="D451">
        <v>163</v>
      </c>
      <c r="E451" s="2">
        <v>1214</v>
      </c>
      <c r="F451">
        <v>2</v>
      </c>
      <c r="G451" t="s">
        <v>19</v>
      </c>
      <c r="H451" t="s">
        <v>22</v>
      </c>
      <c r="I451" s="2">
        <v>197882</v>
      </c>
    </row>
    <row r="452" spans="1:9">
      <c r="A452" s="1">
        <v>45986.256513026041</v>
      </c>
      <c r="B452" t="s">
        <v>15</v>
      </c>
      <c r="C452" t="s">
        <v>18</v>
      </c>
      <c r="D452">
        <v>81</v>
      </c>
      <c r="E452" s="2">
        <v>1524</v>
      </c>
      <c r="F452">
        <v>2</v>
      </c>
      <c r="G452" t="s">
        <v>20</v>
      </c>
      <c r="H452" t="s">
        <v>23</v>
      </c>
      <c r="I452" s="2">
        <v>123444</v>
      </c>
    </row>
    <row r="453" spans="1:9">
      <c r="A453" s="1">
        <v>45986.985971943883</v>
      </c>
      <c r="B453" t="s">
        <v>15</v>
      </c>
      <c r="C453" t="s">
        <v>18</v>
      </c>
      <c r="D453">
        <v>182</v>
      </c>
      <c r="E453" s="2">
        <v>1175</v>
      </c>
      <c r="F453">
        <v>1</v>
      </c>
      <c r="G453" t="s">
        <v>20</v>
      </c>
      <c r="H453" t="s">
        <v>22</v>
      </c>
      <c r="I453" s="2">
        <v>213850</v>
      </c>
    </row>
    <row r="454" spans="1:9">
      <c r="A454" s="1">
        <v>45987.71543086171</v>
      </c>
      <c r="B454" t="s">
        <v>15</v>
      </c>
      <c r="C454" t="s">
        <v>18</v>
      </c>
      <c r="D454">
        <v>45</v>
      </c>
      <c r="E454" s="2">
        <v>1316</v>
      </c>
      <c r="F454">
        <v>2</v>
      </c>
      <c r="G454" t="s">
        <v>20</v>
      </c>
      <c r="H454" t="s">
        <v>22</v>
      </c>
      <c r="I454" s="2">
        <v>59220</v>
      </c>
    </row>
    <row r="455" spans="1:9">
      <c r="A455" s="1">
        <v>45988.444889779552</v>
      </c>
      <c r="B455" t="s">
        <v>15</v>
      </c>
      <c r="C455" t="s">
        <v>17</v>
      </c>
      <c r="D455">
        <v>164</v>
      </c>
      <c r="E455" s="2">
        <v>1263</v>
      </c>
      <c r="F455">
        <v>1</v>
      </c>
      <c r="G455" t="s">
        <v>20</v>
      </c>
      <c r="H455" t="s">
        <v>22</v>
      </c>
      <c r="I455" s="2">
        <v>207132</v>
      </c>
    </row>
    <row r="456" spans="1:9">
      <c r="A456" s="1">
        <v>45989.174348697386</v>
      </c>
      <c r="B456" t="s">
        <v>11</v>
      </c>
      <c r="C456" t="s">
        <v>17</v>
      </c>
      <c r="D456">
        <v>153</v>
      </c>
      <c r="E456" s="2">
        <v>1304</v>
      </c>
      <c r="F456">
        <v>1</v>
      </c>
      <c r="G456" t="s">
        <v>21</v>
      </c>
      <c r="H456" t="s">
        <v>23</v>
      </c>
      <c r="I456" s="2">
        <v>199512</v>
      </c>
    </row>
    <row r="457" spans="1:9">
      <c r="A457" s="1">
        <v>45989.903807615221</v>
      </c>
      <c r="B457" t="s">
        <v>12</v>
      </c>
      <c r="C457" t="s">
        <v>18</v>
      </c>
      <c r="D457">
        <v>174</v>
      </c>
      <c r="E457" s="2">
        <v>1435</v>
      </c>
      <c r="F457">
        <v>3</v>
      </c>
      <c r="G457" t="s">
        <v>21</v>
      </c>
      <c r="H457" t="s">
        <v>23</v>
      </c>
      <c r="I457" s="2">
        <v>249690</v>
      </c>
    </row>
    <row r="458" spans="1:9">
      <c r="A458" s="1">
        <v>45990.633266533063</v>
      </c>
      <c r="B458" t="s">
        <v>15</v>
      </c>
      <c r="C458" t="s">
        <v>17</v>
      </c>
      <c r="D458">
        <v>54</v>
      </c>
      <c r="E458" s="2">
        <v>1082</v>
      </c>
      <c r="F458">
        <v>3</v>
      </c>
      <c r="G458" t="s">
        <v>20</v>
      </c>
      <c r="H458" t="s">
        <v>23</v>
      </c>
      <c r="I458" s="2">
        <v>58428</v>
      </c>
    </row>
    <row r="459" spans="1:9">
      <c r="A459" s="1">
        <v>45991.36272545089</v>
      </c>
      <c r="B459" t="s">
        <v>13</v>
      </c>
      <c r="C459" t="s">
        <v>18</v>
      </c>
      <c r="D459">
        <v>39</v>
      </c>
      <c r="E459" s="2">
        <v>1073</v>
      </c>
      <c r="F459">
        <v>4</v>
      </c>
      <c r="G459" t="s">
        <v>20</v>
      </c>
      <c r="H459" t="s">
        <v>22</v>
      </c>
      <c r="I459" s="2">
        <v>41847</v>
      </c>
    </row>
    <row r="460" spans="1:9">
      <c r="A460" s="1">
        <v>45992.092184368717</v>
      </c>
      <c r="B460" t="s">
        <v>12</v>
      </c>
      <c r="C460" t="s">
        <v>17</v>
      </c>
      <c r="D460">
        <v>71</v>
      </c>
      <c r="E460" s="2">
        <v>1843</v>
      </c>
      <c r="F460">
        <v>3</v>
      </c>
      <c r="G460" t="s">
        <v>20</v>
      </c>
      <c r="H460" t="s">
        <v>22</v>
      </c>
      <c r="I460" s="2">
        <v>130853</v>
      </c>
    </row>
    <row r="461" spans="1:9">
      <c r="A461" s="1">
        <v>45992.821643286559</v>
      </c>
      <c r="B461" t="s">
        <v>12</v>
      </c>
      <c r="C461" t="s">
        <v>18</v>
      </c>
      <c r="D461">
        <v>171</v>
      </c>
      <c r="E461" s="2">
        <v>1680</v>
      </c>
      <c r="F461">
        <v>3</v>
      </c>
      <c r="G461" t="s">
        <v>21</v>
      </c>
      <c r="H461" t="s">
        <v>23</v>
      </c>
      <c r="I461" s="2">
        <v>287280</v>
      </c>
    </row>
    <row r="462" spans="1:9">
      <c r="A462" s="1">
        <v>45993.551102204401</v>
      </c>
      <c r="B462" t="s">
        <v>14</v>
      </c>
      <c r="C462" t="s">
        <v>18</v>
      </c>
      <c r="D462">
        <v>87</v>
      </c>
      <c r="E462" s="2">
        <v>1261</v>
      </c>
      <c r="F462">
        <v>2</v>
      </c>
      <c r="G462" t="s">
        <v>20</v>
      </c>
      <c r="H462" t="s">
        <v>23</v>
      </c>
      <c r="I462" s="2">
        <v>109707</v>
      </c>
    </row>
    <row r="463" spans="1:9">
      <c r="A463" s="1">
        <v>45994.280561122243</v>
      </c>
      <c r="B463" t="s">
        <v>11</v>
      </c>
      <c r="C463" t="s">
        <v>17</v>
      </c>
      <c r="D463">
        <v>133</v>
      </c>
      <c r="E463" s="2">
        <v>1421</v>
      </c>
      <c r="F463">
        <v>3</v>
      </c>
      <c r="G463" t="s">
        <v>20</v>
      </c>
      <c r="H463" t="s">
        <v>23</v>
      </c>
      <c r="I463" s="2">
        <v>188993</v>
      </c>
    </row>
    <row r="464" spans="1:9">
      <c r="A464" s="1">
        <v>45995.01002004007</v>
      </c>
      <c r="B464" t="s">
        <v>15</v>
      </c>
      <c r="C464" t="s">
        <v>17</v>
      </c>
      <c r="D464">
        <v>120</v>
      </c>
      <c r="E464" s="2">
        <v>1184</v>
      </c>
      <c r="F464">
        <v>4</v>
      </c>
      <c r="G464" t="s">
        <v>20</v>
      </c>
      <c r="H464" t="s">
        <v>22</v>
      </c>
      <c r="I464" s="2">
        <v>142080</v>
      </c>
    </row>
    <row r="465" spans="1:9">
      <c r="A465" s="1">
        <v>45995.739478957898</v>
      </c>
      <c r="B465" t="s">
        <v>16</v>
      </c>
      <c r="C465" t="s">
        <v>17</v>
      </c>
      <c r="D465">
        <v>142</v>
      </c>
      <c r="E465" s="2">
        <v>1071</v>
      </c>
      <c r="F465">
        <v>2</v>
      </c>
      <c r="G465" t="s">
        <v>19</v>
      </c>
      <c r="H465" t="s">
        <v>23</v>
      </c>
      <c r="I465" s="2">
        <v>152082</v>
      </c>
    </row>
    <row r="466" spans="1:9">
      <c r="A466" s="1">
        <v>45996.468937875739</v>
      </c>
      <c r="B466" t="s">
        <v>10</v>
      </c>
      <c r="C466" t="s">
        <v>17</v>
      </c>
      <c r="D466">
        <v>58</v>
      </c>
      <c r="E466" s="2">
        <v>886</v>
      </c>
      <c r="F466">
        <v>4</v>
      </c>
      <c r="G466" t="s">
        <v>20</v>
      </c>
      <c r="H466" t="s">
        <v>23</v>
      </c>
      <c r="I466" s="2">
        <v>51388</v>
      </c>
    </row>
    <row r="467" spans="1:9">
      <c r="A467" s="1">
        <v>45997.198396793567</v>
      </c>
      <c r="B467" t="s">
        <v>9</v>
      </c>
      <c r="C467" t="s">
        <v>17</v>
      </c>
      <c r="D467">
        <v>115</v>
      </c>
      <c r="E467" s="2">
        <v>1838</v>
      </c>
      <c r="F467">
        <v>3</v>
      </c>
      <c r="G467" t="s">
        <v>19</v>
      </c>
      <c r="H467" t="s">
        <v>22</v>
      </c>
      <c r="I467" s="2">
        <v>211370</v>
      </c>
    </row>
    <row r="468" spans="1:9">
      <c r="A468" s="1">
        <v>45997.927855711408</v>
      </c>
      <c r="B468" t="s">
        <v>13</v>
      </c>
      <c r="C468" t="s">
        <v>17</v>
      </c>
      <c r="D468">
        <v>192</v>
      </c>
      <c r="E468" s="2">
        <v>1127</v>
      </c>
      <c r="F468">
        <v>4</v>
      </c>
      <c r="G468" t="s">
        <v>19</v>
      </c>
      <c r="H468" t="s">
        <v>22</v>
      </c>
      <c r="I468" s="2">
        <v>216384</v>
      </c>
    </row>
    <row r="469" spans="1:9">
      <c r="A469" s="1">
        <v>45998.65731462925</v>
      </c>
      <c r="B469" t="s">
        <v>16</v>
      </c>
      <c r="C469" t="s">
        <v>17</v>
      </c>
      <c r="D469">
        <v>154</v>
      </c>
      <c r="E469" s="2">
        <v>1045</v>
      </c>
      <c r="F469">
        <v>2</v>
      </c>
      <c r="G469" t="s">
        <v>20</v>
      </c>
      <c r="H469" t="s">
        <v>22</v>
      </c>
      <c r="I469" s="2">
        <v>160930</v>
      </c>
    </row>
    <row r="470" spans="1:9">
      <c r="A470" s="1">
        <v>45999.386773547078</v>
      </c>
      <c r="B470" t="s">
        <v>11</v>
      </c>
      <c r="C470" t="s">
        <v>17</v>
      </c>
      <c r="D470">
        <v>93</v>
      </c>
      <c r="E470" s="2">
        <v>1765</v>
      </c>
      <c r="F470">
        <v>1</v>
      </c>
      <c r="G470" t="s">
        <v>19</v>
      </c>
      <c r="H470" t="s">
        <v>23</v>
      </c>
      <c r="I470" s="2">
        <v>164145</v>
      </c>
    </row>
    <row r="471" spans="1:9">
      <c r="A471" s="1">
        <v>46000.116232464919</v>
      </c>
      <c r="B471" t="s">
        <v>10</v>
      </c>
      <c r="C471" t="s">
        <v>17</v>
      </c>
      <c r="D471">
        <v>162</v>
      </c>
      <c r="E471" s="2">
        <v>1713</v>
      </c>
      <c r="F471">
        <v>4</v>
      </c>
      <c r="G471" t="s">
        <v>20</v>
      </c>
      <c r="H471" t="s">
        <v>22</v>
      </c>
      <c r="I471" s="2">
        <v>277506</v>
      </c>
    </row>
    <row r="472" spans="1:9">
      <c r="A472" s="1">
        <v>46000.845691382747</v>
      </c>
      <c r="B472" t="s">
        <v>11</v>
      </c>
      <c r="C472" t="s">
        <v>18</v>
      </c>
      <c r="D472">
        <v>148</v>
      </c>
      <c r="E472" s="2">
        <v>1333</v>
      </c>
      <c r="F472">
        <v>4</v>
      </c>
      <c r="G472" t="s">
        <v>21</v>
      </c>
      <c r="H472" t="s">
        <v>22</v>
      </c>
      <c r="I472" s="2">
        <v>197284</v>
      </c>
    </row>
    <row r="473" spans="1:9">
      <c r="A473" s="1">
        <v>46001.575150300589</v>
      </c>
      <c r="B473" t="s">
        <v>13</v>
      </c>
      <c r="C473" t="s">
        <v>18</v>
      </c>
      <c r="D473">
        <v>149</v>
      </c>
      <c r="E473" s="2">
        <v>1091</v>
      </c>
      <c r="F473">
        <v>2</v>
      </c>
      <c r="G473" t="s">
        <v>21</v>
      </c>
      <c r="H473" t="s">
        <v>23</v>
      </c>
      <c r="I473" s="2">
        <v>162559</v>
      </c>
    </row>
    <row r="474" spans="1:9">
      <c r="A474" s="1">
        <v>46002.304609218423</v>
      </c>
      <c r="B474" t="s">
        <v>12</v>
      </c>
      <c r="C474" t="s">
        <v>17</v>
      </c>
      <c r="D474">
        <v>48</v>
      </c>
      <c r="E474" s="2">
        <v>1173</v>
      </c>
      <c r="F474">
        <v>2</v>
      </c>
      <c r="G474" t="s">
        <v>21</v>
      </c>
      <c r="H474" t="s">
        <v>22</v>
      </c>
      <c r="I474" s="2">
        <v>56304</v>
      </c>
    </row>
    <row r="475" spans="1:9">
      <c r="A475" s="1">
        <v>46003.034068136258</v>
      </c>
      <c r="B475" t="s">
        <v>10</v>
      </c>
      <c r="C475" t="s">
        <v>17</v>
      </c>
      <c r="D475">
        <v>43</v>
      </c>
      <c r="E475" s="2">
        <v>1580</v>
      </c>
      <c r="F475">
        <v>4</v>
      </c>
      <c r="G475" t="s">
        <v>21</v>
      </c>
      <c r="H475" t="s">
        <v>23</v>
      </c>
      <c r="I475" s="2">
        <v>67940</v>
      </c>
    </row>
    <row r="476" spans="1:9">
      <c r="A476" s="1">
        <v>46003.7635270541</v>
      </c>
      <c r="B476" t="s">
        <v>12</v>
      </c>
      <c r="C476" t="s">
        <v>17</v>
      </c>
      <c r="D476">
        <v>74</v>
      </c>
      <c r="E476" s="2">
        <v>1041</v>
      </c>
      <c r="F476">
        <v>3</v>
      </c>
      <c r="G476" t="s">
        <v>19</v>
      </c>
      <c r="H476" t="s">
        <v>23</v>
      </c>
      <c r="I476" s="2">
        <v>77034</v>
      </c>
    </row>
    <row r="477" spans="1:9">
      <c r="A477" s="1">
        <v>46004.492985971927</v>
      </c>
      <c r="B477" t="s">
        <v>13</v>
      </c>
      <c r="C477" t="s">
        <v>18</v>
      </c>
      <c r="D477">
        <v>59</v>
      </c>
      <c r="E477" s="2">
        <v>866</v>
      </c>
      <c r="F477">
        <v>4</v>
      </c>
      <c r="G477" t="s">
        <v>20</v>
      </c>
      <c r="H477" t="s">
        <v>22</v>
      </c>
      <c r="I477" s="2">
        <v>51094</v>
      </c>
    </row>
    <row r="478" spans="1:9">
      <c r="A478" s="1">
        <v>46005.222444889769</v>
      </c>
      <c r="B478" t="s">
        <v>16</v>
      </c>
      <c r="C478" t="s">
        <v>18</v>
      </c>
      <c r="D478">
        <v>137</v>
      </c>
      <c r="E478" s="2">
        <v>1373</v>
      </c>
      <c r="F478">
        <v>2</v>
      </c>
      <c r="G478" t="s">
        <v>20</v>
      </c>
      <c r="H478" t="s">
        <v>22</v>
      </c>
      <c r="I478" s="2">
        <v>188101</v>
      </c>
    </row>
    <row r="479" spans="1:9">
      <c r="A479" s="1">
        <v>46005.951903807603</v>
      </c>
      <c r="B479" t="s">
        <v>13</v>
      </c>
      <c r="C479" t="s">
        <v>18</v>
      </c>
      <c r="D479">
        <v>56</v>
      </c>
      <c r="E479" s="2">
        <v>1767</v>
      </c>
      <c r="F479">
        <v>1</v>
      </c>
      <c r="G479" t="s">
        <v>20</v>
      </c>
      <c r="H479" t="s">
        <v>22</v>
      </c>
      <c r="I479" s="2">
        <v>98952</v>
      </c>
    </row>
    <row r="480" spans="1:9">
      <c r="A480" s="1">
        <v>46006.681362725438</v>
      </c>
      <c r="B480" t="s">
        <v>16</v>
      </c>
      <c r="C480" t="s">
        <v>18</v>
      </c>
      <c r="D480">
        <v>38</v>
      </c>
      <c r="E480" s="2">
        <v>1250</v>
      </c>
      <c r="F480">
        <v>1</v>
      </c>
      <c r="G480" t="s">
        <v>21</v>
      </c>
      <c r="H480" t="s">
        <v>22</v>
      </c>
      <c r="I480" s="2">
        <v>47500</v>
      </c>
    </row>
    <row r="481" spans="1:9">
      <c r="A481" s="1">
        <v>46007.410821643272</v>
      </c>
      <c r="B481" t="s">
        <v>10</v>
      </c>
      <c r="C481" t="s">
        <v>18</v>
      </c>
      <c r="D481">
        <v>188</v>
      </c>
      <c r="E481" s="2">
        <v>1755</v>
      </c>
      <c r="F481">
        <v>3</v>
      </c>
      <c r="G481" t="s">
        <v>21</v>
      </c>
      <c r="H481" t="s">
        <v>22</v>
      </c>
      <c r="I481" s="2">
        <v>329940</v>
      </c>
    </row>
    <row r="482" spans="1:9">
      <c r="A482" s="1">
        <v>46008.140280561107</v>
      </c>
      <c r="B482" t="s">
        <v>10</v>
      </c>
      <c r="C482" t="s">
        <v>18</v>
      </c>
      <c r="D482">
        <v>63</v>
      </c>
      <c r="E482" s="2">
        <v>1735</v>
      </c>
      <c r="F482">
        <v>4</v>
      </c>
      <c r="G482" t="s">
        <v>20</v>
      </c>
      <c r="H482" t="s">
        <v>22</v>
      </c>
      <c r="I482" s="2">
        <v>109305</v>
      </c>
    </row>
    <row r="483" spans="1:9">
      <c r="A483" s="1">
        <v>46008.869739478949</v>
      </c>
      <c r="B483" t="s">
        <v>15</v>
      </c>
      <c r="C483" t="s">
        <v>18</v>
      </c>
      <c r="D483">
        <v>143</v>
      </c>
      <c r="E483" s="2">
        <v>1554</v>
      </c>
      <c r="F483">
        <v>1</v>
      </c>
      <c r="G483" t="s">
        <v>21</v>
      </c>
      <c r="H483" t="s">
        <v>23</v>
      </c>
      <c r="I483" s="2">
        <v>222222</v>
      </c>
    </row>
    <row r="484" spans="1:9">
      <c r="A484" s="1">
        <v>46009.599198396783</v>
      </c>
      <c r="B484" t="s">
        <v>11</v>
      </c>
      <c r="C484" t="s">
        <v>17</v>
      </c>
      <c r="D484">
        <v>132</v>
      </c>
      <c r="E484" s="2">
        <v>871</v>
      </c>
      <c r="F484">
        <v>4</v>
      </c>
      <c r="G484" t="s">
        <v>20</v>
      </c>
      <c r="H484" t="s">
        <v>23</v>
      </c>
      <c r="I484" s="2">
        <v>114972</v>
      </c>
    </row>
    <row r="485" spans="1:9">
      <c r="A485" s="1">
        <v>46010.328657314618</v>
      </c>
      <c r="B485" t="s">
        <v>15</v>
      </c>
      <c r="C485" t="s">
        <v>17</v>
      </c>
      <c r="D485">
        <v>71</v>
      </c>
      <c r="E485" s="2">
        <v>1323</v>
      </c>
      <c r="F485">
        <v>2</v>
      </c>
      <c r="G485" t="s">
        <v>20</v>
      </c>
      <c r="H485" t="s">
        <v>22</v>
      </c>
      <c r="I485" s="2">
        <v>93933</v>
      </c>
    </row>
    <row r="486" spans="1:9">
      <c r="A486" s="1">
        <v>46011.058116232452</v>
      </c>
      <c r="B486" t="s">
        <v>11</v>
      </c>
      <c r="C486" t="s">
        <v>17</v>
      </c>
      <c r="D486">
        <v>109</v>
      </c>
      <c r="E486" s="2">
        <v>969</v>
      </c>
      <c r="F486">
        <v>1</v>
      </c>
      <c r="G486" t="s">
        <v>20</v>
      </c>
      <c r="H486" t="s">
        <v>23</v>
      </c>
      <c r="I486" s="2">
        <v>105621</v>
      </c>
    </row>
    <row r="487" spans="1:9">
      <c r="A487" s="1">
        <v>46011.787575150287</v>
      </c>
      <c r="B487" t="s">
        <v>15</v>
      </c>
      <c r="C487" t="s">
        <v>17</v>
      </c>
      <c r="D487">
        <v>104</v>
      </c>
      <c r="E487" s="2">
        <v>1059</v>
      </c>
      <c r="F487">
        <v>3</v>
      </c>
      <c r="G487" t="s">
        <v>20</v>
      </c>
      <c r="H487" t="s">
        <v>22</v>
      </c>
      <c r="I487" s="2">
        <v>110136</v>
      </c>
    </row>
    <row r="488" spans="1:9">
      <c r="A488" s="1">
        <v>46012.517034068122</v>
      </c>
      <c r="B488" t="s">
        <v>12</v>
      </c>
      <c r="C488" t="s">
        <v>18</v>
      </c>
      <c r="D488">
        <v>180</v>
      </c>
      <c r="E488" s="2">
        <v>1155</v>
      </c>
      <c r="F488">
        <v>2</v>
      </c>
      <c r="G488" t="s">
        <v>20</v>
      </c>
      <c r="H488" t="s">
        <v>23</v>
      </c>
      <c r="I488" s="2">
        <v>207900</v>
      </c>
    </row>
    <row r="489" spans="1:9">
      <c r="A489" s="1">
        <v>46013.246492985963</v>
      </c>
      <c r="B489" t="s">
        <v>10</v>
      </c>
      <c r="C489" t="s">
        <v>17</v>
      </c>
      <c r="D489">
        <v>162</v>
      </c>
      <c r="E489" s="2">
        <v>1119</v>
      </c>
      <c r="F489">
        <v>3</v>
      </c>
      <c r="G489" t="s">
        <v>20</v>
      </c>
      <c r="H489" t="s">
        <v>23</v>
      </c>
      <c r="I489" s="2">
        <v>181278</v>
      </c>
    </row>
    <row r="490" spans="1:9">
      <c r="A490" s="1">
        <v>46013.975951903798</v>
      </c>
      <c r="B490" t="s">
        <v>16</v>
      </c>
      <c r="C490" t="s">
        <v>18</v>
      </c>
      <c r="D490">
        <v>119</v>
      </c>
      <c r="E490" s="2">
        <v>1553</v>
      </c>
      <c r="F490">
        <v>2</v>
      </c>
      <c r="G490" t="s">
        <v>20</v>
      </c>
      <c r="H490" t="s">
        <v>23</v>
      </c>
      <c r="I490" s="2">
        <v>184807</v>
      </c>
    </row>
    <row r="491" spans="1:9">
      <c r="A491" s="1">
        <v>46014.705410821633</v>
      </c>
      <c r="B491" t="s">
        <v>11</v>
      </c>
      <c r="C491" t="s">
        <v>17</v>
      </c>
      <c r="D491">
        <v>76</v>
      </c>
      <c r="E491" s="2">
        <v>1536</v>
      </c>
      <c r="F491">
        <v>1</v>
      </c>
      <c r="G491" t="s">
        <v>21</v>
      </c>
      <c r="H491" t="s">
        <v>22</v>
      </c>
      <c r="I491" s="2">
        <v>116736</v>
      </c>
    </row>
    <row r="492" spans="1:9">
      <c r="A492" s="1">
        <v>46015.434869739467</v>
      </c>
      <c r="B492" t="s">
        <v>13</v>
      </c>
      <c r="C492" t="s">
        <v>17</v>
      </c>
      <c r="D492">
        <v>134</v>
      </c>
      <c r="E492" s="2">
        <v>1134</v>
      </c>
      <c r="F492">
        <v>3</v>
      </c>
      <c r="G492" t="s">
        <v>20</v>
      </c>
      <c r="H492" t="s">
        <v>23</v>
      </c>
      <c r="I492" s="2">
        <v>151956</v>
      </c>
    </row>
    <row r="493" spans="1:9">
      <c r="A493" s="1">
        <v>46016.164328657302</v>
      </c>
      <c r="B493" t="s">
        <v>11</v>
      </c>
      <c r="C493" t="s">
        <v>18</v>
      </c>
      <c r="D493">
        <v>75</v>
      </c>
      <c r="E493" s="2">
        <v>1565</v>
      </c>
      <c r="F493">
        <v>3</v>
      </c>
      <c r="G493" t="s">
        <v>20</v>
      </c>
      <c r="H493" t="s">
        <v>22</v>
      </c>
      <c r="I493" s="2">
        <v>117375</v>
      </c>
    </row>
    <row r="494" spans="1:9">
      <c r="A494" s="1">
        <v>46016.893787575144</v>
      </c>
      <c r="B494" t="s">
        <v>16</v>
      </c>
      <c r="C494" t="s">
        <v>17</v>
      </c>
      <c r="D494">
        <v>68</v>
      </c>
      <c r="E494" s="2">
        <v>1525</v>
      </c>
      <c r="F494">
        <v>2</v>
      </c>
      <c r="G494" t="s">
        <v>21</v>
      </c>
      <c r="H494" t="s">
        <v>23</v>
      </c>
      <c r="I494" s="2">
        <v>103700</v>
      </c>
    </row>
    <row r="495" spans="1:9">
      <c r="A495" s="1">
        <v>46017.623246492978</v>
      </c>
      <c r="B495" t="s">
        <v>15</v>
      </c>
      <c r="C495" t="s">
        <v>18</v>
      </c>
      <c r="D495">
        <v>51</v>
      </c>
      <c r="E495" s="2">
        <v>1612</v>
      </c>
      <c r="F495">
        <v>3</v>
      </c>
      <c r="G495" t="s">
        <v>21</v>
      </c>
      <c r="H495" t="s">
        <v>23</v>
      </c>
      <c r="I495" s="2">
        <v>82212</v>
      </c>
    </row>
    <row r="496" spans="1:9">
      <c r="A496" s="1">
        <v>46018.352705410813</v>
      </c>
      <c r="B496" t="s">
        <v>11</v>
      </c>
      <c r="C496" t="s">
        <v>17</v>
      </c>
      <c r="D496">
        <v>199</v>
      </c>
      <c r="E496" s="2">
        <v>1076</v>
      </c>
      <c r="F496">
        <v>2</v>
      </c>
      <c r="G496" t="s">
        <v>21</v>
      </c>
      <c r="H496" t="s">
        <v>23</v>
      </c>
      <c r="I496" s="2">
        <v>214124</v>
      </c>
    </row>
    <row r="497" spans="1:9">
      <c r="A497" s="1">
        <v>46019.082164328647</v>
      </c>
      <c r="B497" t="s">
        <v>9</v>
      </c>
      <c r="C497" t="s">
        <v>17</v>
      </c>
      <c r="D497">
        <v>187</v>
      </c>
      <c r="E497" s="2">
        <v>1797</v>
      </c>
      <c r="F497">
        <v>2</v>
      </c>
      <c r="G497" t="s">
        <v>20</v>
      </c>
      <c r="H497" t="s">
        <v>23</v>
      </c>
      <c r="I497" s="2">
        <v>336039</v>
      </c>
    </row>
    <row r="498" spans="1:9">
      <c r="A498" s="1">
        <v>46019.811623246482</v>
      </c>
      <c r="B498" t="s">
        <v>12</v>
      </c>
      <c r="C498" t="s">
        <v>17</v>
      </c>
      <c r="D498">
        <v>156</v>
      </c>
      <c r="E498" s="2">
        <v>1230</v>
      </c>
      <c r="F498">
        <v>2</v>
      </c>
      <c r="G498" t="s">
        <v>19</v>
      </c>
      <c r="H498" t="s">
        <v>23</v>
      </c>
      <c r="I498" s="2">
        <v>191880</v>
      </c>
    </row>
    <row r="499" spans="1:9">
      <c r="A499" s="1">
        <v>46020.541082164324</v>
      </c>
      <c r="B499" t="s">
        <v>10</v>
      </c>
      <c r="C499" t="s">
        <v>17</v>
      </c>
      <c r="D499">
        <v>110</v>
      </c>
      <c r="E499" s="2">
        <v>1309</v>
      </c>
      <c r="F499">
        <v>2</v>
      </c>
      <c r="G499" t="s">
        <v>19</v>
      </c>
      <c r="H499" t="s">
        <v>22</v>
      </c>
      <c r="I499" s="2">
        <v>143990</v>
      </c>
    </row>
    <row r="500" spans="1:9">
      <c r="A500" s="1">
        <v>46021.270541082173</v>
      </c>
      <c r="B500" t="s">
        <v>16</v>
      </c>
      <c r="C500" t="s">
        <v>18</v>
      </c>
      <c r="D500">
        <v>121</v>
      </c>
      <c r="E500" s="2">
        <v>856</v>
      </c>
      <c r="F500">
        <v>1</v>
      </c>
      <c r="G500" t="s">
        <v>21</v>
      </c>
      <c r="H500" t="s">
        <v>22</v>
      </c>
      <c r="I500" s="2">
        <v>103576</v>
      </c>
    </row>
    <row r="501" spans="1:9">
      <c r="A501" s="1">
        <v>46022</v>
      </c>
      <c r="B501" t="s">
        <v>10</v>
      </c>
      <c r="C501" t="s">
        <v>17</v>
      </c>
      <c r="D501">
        <v>151</v>
      </c>
      <c r="E501" s="2">
        <v>878</v>
      </c>
      <c r="F501">
        <v>2</v>
      </c>
      <c r="G501" t="s">
        <v>19</v>
      </c>
      <c r="H501" t="s">
        <v>23</v>
      </c>
      <c r="I501" s="2">
        <v>132578</v>
      </c>
    </row>
    <row r="502" spans="1:9">
      <c r="A502" s="1"/>
      <c r="E502" s="2">
        <f>AVERAGE(Table1[Price_per_m2])</f>
        <v>1343.24</v>
      </c>
      <c r="I502" s="2">
        <f>SUBTOTAL(109,Table1[Total_Price])</f>
        <v>77789708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C5EE-2F78-7643-885C-F87CE5C46FC5}">
  <dimension ref="B2:N11"/>
  <sheetViews>
    <sheetView topLeftCell="E1" zoomScale="92" workbookViewId="0">
      <selection activeCell="N6" sqref="N6"/>
    </sheetView>
  </sheetViews>
  <sheetFormatPr baseColWidth="10" defaultRowHeight="15"/>
  <cols>
    <col min="2" max="2" width="12.1640625" bestFit="1" customWidth="1"/>
    <col min="3" max="3" width="16.5" style="2" bestFit="1" customWidth="1"/>
    <col min="6" max="6" width="12.1640625" bestFit="1" customWidth="1"/>
    <col min="7" max="7" width="16.5" bestFit="1" customWidth="1"/>
    <col min="8" max="8" width="6.6640625" bestFit="1" customWidth="1"/>
    <col min="9" max="9" width="10" bestFit="1" customWidth="1"/>
    <col min="10" max="10" width="12.1640625" bestFit="1" customWidth="1"/>
    <col min="11" max="11" width="16.5" bestFit="1" customWidth="1"/>
    <col min="12" max="12" width="18.6640625" bestFit="1" customWidth="1"/>
    <col min="13" max="13" width="12.1640625" bestFit="1" customWidth="1"/>
    <col min="14" max="14" width="19.6640625" bestFit="1" customWidth="1"/>
    <col min="15" max="15" width="15.6640625" bestFit="1" customWidth="1"/>
  </cols>
  <sheetData>
    <row r="2" spans="2:14">
      <c r="B2" s="5" t="s">
        <v>24</v>
      </c>
      <c r="C2" s="2" t="s">
        <v>26</v>
      </c>
      <c r="J2" s="5" t="s">
        <v>24</v>
      </c>
      <c r="K2" s="2" t="s">
        <v>26</v>
      </c>
      <c r="M2" s="5" t="s">
        <v>24</v>
      </c>
      <c r="N2" s="2" t="s">
        <v>27</v>
      </c>
    </row>
    <row r="3" spans="2:14">
      <c r="B3" s="6" t="s">
        <v>10</v>
      </c>
      <c r="C3" s="2">
        <v>11721170</v>
      </c>
      <c r="F3" s="5" t="s">
        <v>24</v>
      </c>
      <c r="G3" s="2" t="s">
        <v>26</v>
      </c>
      <c r="J3" s="6">
        <v>1</v>
      </c>
      <c r="K3" s="2">
        <v>19032648</v>
      </c>
      <c r="M3" s="6" t="s">
        <v>21</v>
      </c>
      <c r="N3" s="11">
        <v>176</v>
      </c>
    </row>
    <row r="4" spans="2:14">
      <c r="B4" s="6" t="s">
        <v>12</v>
      </c>
      <c r="C4" s="2">
        <v>10766776</v>
      </c>
      <c r="F4" s="6" t="s">
        <v>17</v>
      </c>
      <c r="G4" s="2">
        <v>51643021</v>
      </c>
      <c r="J4" s="6">
        <v>2</v>
      </c>
      <c r="K4" s="2">
        <v>21094156</v>
      </c>
      <c r="M4" s="6" t="s">
        <v>20</v>
      </c>
      <c r="N4" s="11">
        <v>178</v>
      </c>
    </row>
    <row r="5" spans="2:14">
      <c r="B5" s="6" t="s">
        <v>14</v>
      </c>
      <c r="C5" s="2">
        <v>7432610</v>
      </c>
      <c r="F5" s="7" t="s">
        <v>23</v>
      </c>
      <c r="G5" s="2">
        <v>25042571</v>
      </c>
      <c r="J5" s="6">
        <v>3</v>
      </c>
      <c r="K5" s="2">
        <v>17881540</v>
      </c>
      <c r="M5" s="6" t="s">
        <v>19</v>
      </c>
      <c r="N5" s="11">
        <v>146</v>
      </c>
    </row>
    <row r="6" spans="2:14">
      <c r="B6" s="6" t="s">
        <v>9</v>
      </c>
      <c r="C6" s="2">
        <v>9289324</v>
      </c>
      <c r="F6" s="7" t="s">
        <v>22</v>
      </c>
      <c r="G6" s="2">
        <v>26600450</v>
      </c>
      <c r="J6" s="6">
        <v>4</v>
      </c>
      <c r="K6" s="2">
        <v>19781364</v>
      </c>
      <c r="M6" s="6" t="s">
        <v>25</v>
      </c>
      <c r="N6" s="11">
        <v>500</v>
      </c>
    </row>
    <row r="7" spans="2:14">
      <c r="B7" s="6" t="s">
        <v>15</v>
      </c>
      <c r="C7" s="2">
        <v>8703858</v>
      </c>
      <c r="F7" s="6" t="s">
        <v>18</v>
      </c>
      <c r="G7" s="2">
        <v>26146687</v>
      </c>
      <c r="J7" s="6" t="s">
        <v>25</v>
      </c>
      <c r="K7" s="2">
        <v>77789708</v>
      </c>
    </row>
    <row r="8" spans="2:14">
      <c r="B8" s="6" t="s">
        <v>11</v>
      </c>
      <c r="C8" s="2">
        <v>7930242</v>
      </c>
      <c r="F8" s="7" t="s">
        <v>23</v>
      </c>
      <c r="G8" s="2">
        <v>13545998</v>
      </c>
    </row>
    <row r="9" spans="2:14">
      <c r="B9" s="6" t="s">
        <v>16</v>
      </c>
      <c r="C9" s="2">
        <v>10412000</v>
      </c>
      <c r="F9" s="7" t="s">
        <v>22</v>
      </c>
      <c r="G9" s="2">
        <v>12600689</v>
      </c>
    </row>
    <row r="10" spans="2:14">
      <c r="B10" s="6" t="s">
        <v>13</v>
      </c>
      <c r="C10" s="2">
        <v>11533728</v>
      </c>
      <c r="F10" s="6" t="s">
        <v>25</v>
      </c>
      <c r="G10" s="2">
        <v>77789708</v>
      </c>
    </row>
    <row r="11" spans="2:14">
      <c r="B11" s="6" t="s">
        <v>25</v>
      </c>
      <c r="C11" s="2">
        <v>77789708</v>
      </c>
    </row>
  </sheetData>
  <phoneticPr fontId="2" type="noConversion"/>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EA27-6517-4141-BC61-7B113D5D45AB}">
  <dimension ref="A1:T39"/>
  <sheetViews>
    <sheetView zoomScale="76" workbookViewId="0">
      <selection activeCell="O43" sqref="O43"/>
    </sheetView>
  </sheetViews>
  <sheetFormatPr baseColWidth="10" defaultRowHeight="15"/>
  <cols>
    <col min="18" max="18" width="18.6640625" customWidth="1"/>
  </cols>
  <sheetData>
    <row r="1" spans="1:20">
      <c r="A1" s="12"/>
      <c r="B1" s="12"/>
      <c r="C1" s="12"/>
      <c r="D1" s="12"/>
      <c r="E1" s="12"/>
      <c r="F1" s="12"/>
      <c r="G1" s="12"/>
      <c r="H1" s="12"/>
      <c r="I1" s="12"/>
      <c r="J1" s="12"/>
      <c r="K1" s="12"/>
      <c r="L1" s="12"/>
      <c r="M1" s="12"/>
      <c r="N1" s="12"/>
      <c r="O1" s="12"/>
      <c r="P1" s="12"/>
      <c r="Q1" s="12"/>
      <c r="R1" s="12"/>
      <c r="S1" s="12"/>
      <c r="T1" s="12"/>
    </row>
    <row r="2" spans="1:20">
      <c r="A2" s="12"/>
      <c r="B2" s="12"/>
      <c r="C2" s="12"/>
      <c r="D2" s="12"/>
      <c r="E2" s="12"/>
      <c r="F2" s="12"/>
      <c r="G2" s="12"/>
      <c r="H2" s="12"/>
      <c r="I2" s="12"/>
      <c r="J2" s="12"/>
      <c r="K2" s="12"/>
      <c r="L2" s="12"/>
      <c r="M2" s="12"/>
      <c r="N2" s="12"/>
      <c r="O2" s="12"/>
      <c r="P2" s="12"/>
      <c r="Q2" s="12"/>
      <c r="R2" s="12"/>
      <c r="S2" s="12"/>
      <c r="T2" s="12"/>
    </row>
    <row r="3" spans="1:20">
      <c r="A3" s="12"/>
      <c r="B3" s="12"/>
      <c r="C3" s="12"/>
      <c r="D3" s="12"/>
      <c r="E3" s="12"/>
      <c r="F3" s="12"/>
      <c r="G3" s="12"/>
      <c r="H3" s="12"/>
      <c r="I3" s="12"/>
      <c r="J3" s="12"/>
      <c r="K3" s="12"/>
      <c r="L3" s="12"/>
      <c r="M3" s="12"/>
      <c r="N3" s="12"/>
      <c r="O3" s="12"/>
      <c r="P3" s="12"/>
      <c r="Q3" s="12"/>
      <c r="R3" s="12"/>
      <c r="S3" s="12"/>
      <c r="T3" s="12"/>
    </row>
    <row r="4" spans="1:20">
      <c r="A4" s="12"/>
      <c r="B4" s="12"/>
      <c r="C4" s="12"/>
      <c r="D4" s="12"/>
      <c r="E4" s="12"/>
      <c r="F4" s="12"/>
      <c r="G4" s="12"/>
      <c r="H4" s="12"/>
      <c r="I4" s="12"/>
      <c r="J4" s="12"/>
      <c r="K4" s="12"/>
      <c r="L4" s="12"/>
      <c r="M4" s="12"/>
      <c r="N4" s="12"/>
      <c r="O4" s="12"/>
      <c r="P4" s="12"/>
      <c r="Q4" s="12"/>
      <c r="R4" s="13"/>
      <c r="S4" s="12"/>
      <c r="T4" s="12"/>
    </row>
    <row r="5" spans="1:20">
      <c r="A5" s="12"/>
      <c r="B5" s="12"/>
      <c r="C5" s="12"/>
      <c r="D5" s="12"/>
      <c r="E5" s="12"/>
      <c r="F5" s="12"/>
      <c r="G5" s="12"/>
      <c r="H5" s="12"/>
      <c r="I5" s="12"/>
      <c r="J5" s="12"/>
      <c r="K5" s="12"/>
      <c r="L5" s="12"/>
      <c r="M5" s="12"/>
      <c r="N5" s="12"/>
      <c r="O5" s="12"/>
      <c r="P5" s="12"/>
      <c r="Q5" s="12"/>
      <c r="R5" s="12"/>
      <c r="S5" s="12"/>
      <c r="T5" s="12"/>
    </row>
    <row r="6" spans="1:20">
      <c r="A6" s="12"/>
      <c r="B6" s="12"/>
      <c r="C6" s="12"/>
      <c r="D6" s="12"/>
      <c r="E6" s="12"/>
      <c r="F6" s="12"/>
      <c r="G6" s="12"/>
      <c r="H6" s="12"/>
      <c r="I6" s="12"/>
      <c r="J6" s="12"/>
      <c r="K6" s="12"/>
      <c r="L6" s="12"/>
      <c r="M6" s="12"/>
      <c r="N6" s="12"/>
      <c r="O6" s="12"/>
      <c r="P6" s="12"/>
      <c r="Q6" s="12"/>
      <c r="R6" s="12"/>
      <c r="S6" s="12"/>
      <c r="T6" s="12"/>
    </row>
    <row r="7" spans="1:20">
      <c r="A7" s="12"/>
      <c r="B7" s="12"/>
      <c r="C7" s="12"/>
      <c r="D7" s="12"/>
      <c r="E7" s="12"/>
      <c r="F7" s="12"/>
      <c r="G7" s="12"/>
      <c r="H7" s="12"/>
      <c r="I7" s="12"/>
      <c r="J7" s="12"/>
      <c r="K7" s="12"/>
      <c r="L7" s="12"/>
      <c r="M7" s="12"/>
      <c r="N7" s="12"/>
      <c r="O7" s="12"/>
      <c r="P7" s="12"/>
      <c r="Q7" s="12"/>
      <c r="R7" s="12"/>
      <c r="S7" s="12"/>
      <c r="T7" s="12"/>
    </row>
    <row r="8" spans="1:20">
      <c r="A8" s="12"/>
      <c r="B8" s="12"/>
      <c r="C8" s="12"/>
      <c r="D8" s="12"/>
      <c r="E8" s="12"/>
      <c r="F8" s="12"/>
      <c r="G8" s="12"/>
      <c r="H8" s="12"/>
      <c r="I8" s="12"/>
      <c r="J8" s="12"/>
      <c r="K8" s="12"/>
      <c r="L8" s="12"/>
      <c r="M8" s="12"/>
      <c r="N8" s="12"/>
      <c r="O8" s="12"/>
      <c r="P8" s="12"/>
      <c r="Q8" s="12"/>
      <c r="R8" s="12"/>
      <c r="S8" s="12"/>
      <c r="T8" s="12"/>
    </row>
    <row r="9" spans="1:20">
      <c r="A9" s="12"/>
      <c r="B9" s="12"/>
      <c r="C9" s="12"/>
      <c r="D9" s="12"/>
      <c r="E9" s="12"/>
      <c r="F9" s="12"/>
      <c r="G9" s="12"/>
      <c r="H9" s="12"/>
      <c r="I9" s="12"/>
      <c r="J9" s="12"/>
      <c r="K9" s="12"/>
      <c r="L9" s="12"/>
      <c r="M9" s="12"/>
      <c r="N9" s="12"/>
      <c r="O9" s="12"/>
      <c r="P9" s="12"/>
      <c r="Q9" s="12"/>
      <c r="R9" s="12"/>
      <c r="S9" s="12"/>
      <c r="T9" s="12"/>
    </row>
    <row r="10" spans="1:20">
      <c r="A10" s="12"/>
      <c r="B10" s="12"/>
      <c r="C10" s="12"/>
      <c r="D10" s="12"/>
      <c r="E10" s="12"/>
      <c r="F10" s="12"/>
      <c r="G10" s="12"/>
      <c r="H10" s="12"/>
      <c r="I10" s="12"/>
      <c r="J10" s="12"/>
      <c r="K10" s="12"/>
      <c r="L10" s="12"/>
      <c r="M10" s="12"/>
      <c r="N10" s="12"/>
      <c r="O10" s="12"/>
      <c r="P10" s="12"/>
      <c r="Q10" s="12"/>
      <c r="R10" s="12"/>
      <c r="S10" s="12"/>
      <c r="T10" s="12"/>
    </row>
    <row r="11" spans="1:20">
      <c r="A11" s="12"/>
      <c r="B11" s="12"/>
      <c r="C11" s="12"/>
      <c r="D11" s="12"/>
      <c r="E11" s="12"/>
      <c r="F11" s="12"/>
      <c r="G11" s="12"/>
      <c r="H11" s="12"/>
      <c r="I11" s="12"/>
      <c r="J11" s="12"/>
      <c r="K11" s="12"/>
      <c r="L11" s="12"/>
      <c r="M11" s="12"/>
      <c r="N11" s="12"/>
      <c r="O11" s="12"/>
      <c r="P11" s="12"/>
      <c r="Q11" s="12"/>
      <c r="R11" s="12"/>
      <c r="S11" s="12"/>
      <c r="T11" s="12"/>
    </row>
    <row r="12" spans="1:20">
      <c r="A12" s="12"/>
      <c r="B12" s="12"/>
      <c r="C12" s="12"/>
      <c r="D12" s="12"/>
      <c r="E12" s="12"/>
      <c r="F12" s="12"/>
      <c r="G12" s="12"/>
      <c r="H12" s="12"/>
      <c r="I12" s="12"/>
      <c r="J12" s="12"/>
      <c r="K12" s="12"/>
      <c r="L12" s="12"/>
      <c r="M12" s="12"/>
      <c r="N12" s="12"/>
      <c r="O12" s="12"/>
      <c r="P12" s="12"/>
      <c r="Q12" s="12"/>
      <c r="R12" s="12"/>
      <c r="S12" s="12"/>
      <c r="T12" s="12"/>
    </row>
    <row r="13" spans="1:20">
      <c r="A13" s="12"/>
      <c r="B13" s="12"/>
      <c r="C13" s="12"/>
      <c r="D13" s="12"/>
      <c r="E13" s="12"/>
      <c r="F13" s="12"/>
      <c r="G13" s="12"/>
      <c r="H13" s="12"/>
      <c r="I13" s="12"/>
      <c r="J13" s="12"/>
      <c r="K13" s="12"/>
      <c r="L13" s="12"/>
      <c r="M13" s="12"/>
      <c r="N13" s="12"/>
      <c r="O13" s="12"/>
      <c r="P13" s="12"/>
      <c r="Q13" s="12"/>
      <c r="R13" s="12"/>
      <c r="S13" s="12"/>
      <c r="T13" s="12"/>
    </row>
    <row r="14" spans="1:20">
      <c r="A14" s="12"/>
      <c r="B14" s="12"/>
      <c r="C14" s="12"/>
      <c r="D14" s="12"/>
      <c r="E14" s="12"/>
      <c r="F14" s="12"/>
      <c r="G14" s="12"/>
      <c r="H14" s="12"/>
      <c r="I14" s="12"/>
      <c r="J14" s="12"/>
      <c r="K14" s="12"/>
      <c r="L14" s="12"/>
      <c r="M14" s="12"/>
      <c r="N14" s="12"/>
      <c r="O14" s="12"/>
      <c r="P14" s="12"/>
      <c r="Q14" s="12"/>
      <c r="R14" s="12"/>
      <c r="S14" s="12"/>
      <c r="T14" s="12"/>
    </row>
    <row r="15" spans="1:20">
      <c r="A15" s="12"/>
      <c r="B15" s="12"/>
      <c r="C15" s="12"/>
      <c r="D15" s="12"/>
      <c r="E15" s="12"/>
      <c r="F15" s="12"/>
      <c r="G15" s="12"/>
      <c r="H15" s="12"/>
      <c r="I15" s="12"/>
      <c r="J15" s="12"/>
      <c r="K15" s="12"/>
      <c r="L15" s="12"/>
      <c r="M15" s="12"/>
      <c r="N15" s="12"/>
      <c r="O15" s="12"/>
      <c r="P15" s="12"/>
      <c r="Q15" s="12"/>
      <c r="R15" s="12"/>
      <c r="S15" s="12"/>
      <c r="T15" s="12"/>
    </row>
    <row r="16" spans="1:20">
      <c r="A16" s="12"/>
      <c r="B16" s="12"/>
      <c r="C16" s="12"/>
      <c r="D16" s="12"/>
      <c r="E16" s="12"/>
      <c r="F16" s="12"/>
      <c r="G16" s="12"/>
      <c r="H16" s="12"/>
      <c r="I16" s="12"/>
      <c r="J16" s="12"/>
      <c r="K16" s="12"/>
      <c r="L16" s="12"/>
      <c r="M16" s="12"/>
      <c r="N16" s="12"/>
      <c r="O16" s="12"/>
      <c r="P16" s="12"/>
      <c r="Q16" s="12"/>
      <c r="R16" s="12"/>
      <c r="S16" s="12"/>
      <c r="T16" s="12"/>
    </row>
    <row r="17" spans="1:20">
      <c r="A17" s="12"/>
      <c r="B17" s="12"/>
      <c r="C17" s="12"/>
      <c r="D17" s="12"/>
      <c r="E17" s="12"/>
      <c r="F17" s="12"/>
      <c r="G17" s="12"/>
      <c r="H17" s="12"/>
      <c r="I17" s="12"/>
      <c r="J17" s="12"/>
      <c r="K17" s="12"/>
      <c r="L17" s="12"/>
      <c r="M17" s="12"/>
      <c r="N17" s="12"/>
      <c r="O17" s="12"/>
      <c r="P17" s="12"/>
      <c r="Q17" s="12"/>
      <c r="R17" s="12"/>
      <c r="S17" s="12"/>
      <c r="T17" s="12"/>
    </row>
    <row r="18" spans="1:20">
      <c r="A18" s="12"/>
      <c r="B18" s="12"/>
      <c r="C18" s="12"/>
      <c r="D18" s="12"/>
      <c r="E18" s="12"/>
      <c r="F18" s="12"/>
      <c r="G18" s="12"/>
      <c r="H18" s="12"/>
      <c r="I18" s="12"/>
      <c r="J18" s="12"/>
      <c r="K18" s="12"/>
      <c r="L18" s="12"/>
      <c r="M18" s="12"/>
      <c r="N18" s="12"/>
      <c r="O18" s="12"/>
      <c r="P18" s="12"/>
      <c r="Q18" s="12"/>
      <c r="R18" s="12"/>
      <c r="S18" s="12"/>
      <c r="T18" s="12"/>
    </row>
    <row r="19" spans="1:20">
      <c r="A19" s="12"/>
      <c r="B19" s="12"/>
      <c r="C19" s="12"/>
      <c r="D19" s="12"/>
      <c r="E19" s="12"/>
      <c r="F19" s="12"/>
      <c r="G19" s="12"/>
      <c r="H19" s="12"/>
      <c r="I19" s="12"/>
      <c r="J19" s="12"/>
      <c r="K19" s="12"/>
      <c r="L19" s="12"/>
      <c r="M19" s="12"/>
      <c r="N19" s="12"/>
      <c r="O19" s="12"/>
      <c r="P19" s="12"/>
      <c r="Q19" s="12"/>
      <c r="R19" s="12"/>
      <c r="S19" s="12"/>
      <c r="T19" s="12"/>
    </row>
    <row r="20" spans="1:20">
      <c r="A20" s="12"/>
      <c r="B20" s="12"/>
      <c r="C20" s="12"/>
      <c r="D20" s="12"/>
      <c r="E20" s="12"/>
      <c r="F20" s="12"/>
      <c r="G20" s="12"/>
      <c r="H20" s="12"/>
      <c r="I20" s="12"/>
      <c r="J20" s="12"/>
      <c r="K20" s="12"/>
      <c r="L20" s="12"/>
      <c r="M20" s="12"/>
      <c r="N20" s="12"/>
      <c r="O20" s="12"/>
      <c r="P20" s="12"/>
      <c r="Q20" s="12"/>
      <c r="R20" s="12"/>
      <c r="S20" s="12"/>
      <c r="T20" s="12"/>
    </row>
    <row r="21" spans="1:20">
      <c r="A21" s="12"/>
      <c r="B21" s="12"/>
      <c r="C21" s="12"/>
      <c r="D21" s="12"/>
      <c r="E21" s="12"/>
      <c r="F21" s="12"/>
      <c r="G21" s="12"/>
      <c r="H21" s="12"/>
      <c r="I21" s="12"/>
      <c r="J21" s="12"/>
      <c r="K21" s="12"/>
      <c r="L21" s="12"/>
      <c r="M21" s="12"/>
      <c r="N21" s="12"/>
      <c r="O21" s="12"/>
      <c r="P21" s="12"/>
      <c r="Q21" s="12"/>
      <c r="R21" s="12"/>
      <c r="S21" s="12"/>
      <c r="T21" s="12"/>
    </row>
    <row r="22" spans="1:20">
      <c r="A22" s="12"/>
      <c r="B22" s="12"/>
      <c r="C22" s="12"/>
      <c r="D22" s="12"/>
      <c r="E22" s="12"/>
      <c r="F22" s="12"/>
      <c r="G22" s="12"/>
      <c r="H22" s="12"/>
      <c r="I22" s="12"/>
      <c r="J22" s="12"/>
      <c r="K22" s="12"/>
      <c r="L22" s="12"/>
      <c r="M22" s="12"/>
      <c r="N22" s="12"/>
      <c r="O22" s="12"/>
      <c r="P22" s="12"/>
      <c r="Q22" s="12"/>
      <c r="R22" s="12"/>
      <c r="S22" s="12"/>
      <c r="T22" s="12"/>
    </row>
    <row r="23" spans="1:20">
      <c r="A23" s="12"/>
      <c r="B23" s="12"/>
      <c r="C23" s="12"/>
      <c r="D23" s="12"/>
      <c r="E23" s="12"/>
      <c r="F23" s="12"/>
      <c r="G23" s="12"/>
      <c r="H23" s="12"/>
      <c r="I23" s="12"/>
      <c r="J23" s="12"/>
      <c r="K23" s="12"/>
      <c r="L23" s="12"/>
      <c r="M23" s="12"/>
      <c r="N23" s="12"/>
      <c r="O23" s="12"/>
      <c r="P23" s="12"/>
      <c r="Q23" s="12"/>
      <c r="R23" s="12"/>
      <c r="S23" s="12"/>
      <c r="T23" s="12"/>
    </row>
    <row r="24" spans="1:20">
      <c r="A24" s="12"/>
      <c r="B24" s="12"/>
      <c r="C24" s="12"/>
      <c r="D24" s="12"/>
      <c r="E24" s="12"/>
      <c r="F24" s="12"/>
      <c r="G24" s="12"/>
      <c r="H24" s="12"/>
      <c r="I24" s="12"/>
      <c r="J24" s="12"/>
      <c r="K24" s="12"/>
      <c r="L24" s="12"/>
      <c r="M24" s="12"/>
      <c r="N24" s="12"/>
      <c r="O24" s="12"/>
      <c r="P24" s="12"/>
      <c r="Q24" s="12"/>
      <c r="R24" s="12"/>
      <c r="S24" s="12"/>
      <c r="T24" s="12"/>
    </row>
    <row r="25" spans="1:20">
      <c r="A25" s="12"/>
      <c r="B25" s="12"/>
      <c r="C25" s="12"/>
      <c r="D25" s="12"/>
      <c r="E25" s="12"/>
      <c r="F25" s="12"/>
      <c r="G25" s="12"/>
      <c r="H25" s="12"/>
      <c r="I25" s="12"/>
      <c r="J25" s="12"/>
      <c r="K25" s="12"/>
      <c r="L25" s="12"/>
      <c r="M25" s="12"/>
      <c r="N25" s="12"/>
      <c r="O25" s="12"/>
      <c r="P25" s="12"/>
      <c r="Q25" s="12"/>
      <c r="R25" s="12"/>
      <c r="S25" s="12"/>
      <c r="T25" s="12"/>
    </row>
    <row r="26" spans="1:20">
      <c r="A26" s="12"/>
      <c r="B26" s="12"/>
      <c r="C26" s="12"/>
      <c r="D26" s="12"/>
      <c r="E26" s="12"/>
      <c r="F26" s="12"/>
      <c r="G26" s="12"/>
      <c r="H26" s="12"/>
      <c r="I26" s="12"/>
      <c r="J26" s="12"/>
      <c r="K26" s="12"/>
      <c r="L26" s="12"/>
      <c r="M26" s="12"/>
      <c r="N26" s="12"/>
      <c r="O26" s="12"/>
      <c r="P26" s="12"/>
      <c r="Q26" s="12"/>
      <c r="R26" s="12"/>
      <c r="S26" s="12"/>
      <c r="T26" s="12"/>
    </row>
    <row r="27" spans="1:20">
      <c r="A27" s="12"/>
      <c r="B27" s="12"/>
      <c r="C27" s="12"/>
      <c r="D27" s="12"/>
      <c r="E27" s="12"/>
      <c r="F27" s="12"/>
      <c r="G27" s="12"/>
      <c r="H27" s="12"/>
      <c r="I27" s="12"/>
      <c r="J27" s="12"/>
      <c r="K27" s="12"/>
      <c r="L27" s="12"/>
      <c r="M27" s="12"/>
      <c r="N27" s="12"/>
      <c r="O27" s="12"/>
      <c r="P27" s="12"/>
      <c r="Q27" s="12"/>
      <c r="R27" s="12"/>
      <c r="S27" s="12"/>
      <c r="T27" s="12"/>
    </row>
    <row r="28" spans="1:20">
      <c r="A28" s="12"/>
      <c r="B28" s="12"/>
      <c r="C28" s="12"/>
      <c r="D28" s="12"/>
      <c r="E28" s="12"/>
      <c r="F28" s="12"/>
      <c r="G28" s="12"/>
      <c r="H28" s="12"/>
      <c r="I28" s="12"/>
      <c r="J28" s="12"/>
      <c r="K28" s="12"/>
      <c r="L28" s="12"/>
      <c r="M28" s="12"/>
      <c r="N28" s="12"/>
      <c r="O28" s="12"/>
      <c r="P28" s="12"/>
      <c r="Q28" s="12"/>
      <c r="R28" s="12"/>
      <c r="S28" s="12"/>
      <c r="T28" s="12"/>
    </row>
    <row r="29" spans="1:20">
      <c r="A29" s="12"/>
      <c r="B29" s="12"/>
      <c r="C29" s="12"/>
      <c r="D29" s="12"/>
      <c r="E29" s="12"/>
      <c r="F29" s="12"/>
      <c r="G29" s="12"/>
      <c r="H29" s="12"/>
      <c r="I29" s="12"/>
      <c r="J29" s="12"/>
      <c r="K29" s="12"/>
      <c r="L29" s="12"/>
      <c r="M29" s="12"/>
      <c r="N29" s="12"/>
      <c r="O29" s="12"/>
      <c r="P29" s="12"/>
      <c r="Q29" s="12"/>
      <c r="R29" s="12"/>
      <c r="S29" s="12"/>
      <c r="T29" s="12"/>
    </row>
    <row r="30" spans="1:20">
      <c r="A30" s="12"/>
      <c r="B30" s="12"/>
      <c r="C30" s="12"/>
      <c r="D30" s="12"/>
      <c r="E30" s="12"/>
      <c r="F30" s="12"/>
      <c r="G30" s="12"/>
      <c r="H30" s="12"/>
      <c r="I30" s="12"/>
      <c r="J30" s="12"/>
      <c r="K30" s="12"/>
      <c r="L30" s="12"/>
      <c r="M30" s="12"/>
      <c r="N30" s="12"/>
      <c r="O30" s="12"/>
      <c r="P30" s="12"/>
      <c r="Q30" s="12"/>
      <c r="R30" s="12"/>
      <c r="S30" s="12"/>
      <c r="T30" s="12"/>
    </row>
    <row r="31" spans="1:20">
      <c r="A31" s="12"/>
      <c r="B31" s="12"/>
      <c r="C31" s="12"/>
      <c r="D31" s="12"/>
      <c r="E31" s="12"/>
      <c r="F31" s="12"/>
      <c r="G31" s="12"/>
      <c r="H31" s="12"/>
      <c r="I31" s="12"/>
      <c r="J31" s="12"/>
      <c r="K31" s="12"/>
      <c r="L31" s="12"/>
      <c r="M31" s="12"/>
      <c r="N31" s="12"/>
      <c r="O31" s="12"/>
      <c r="P31" s="12"/>
      <c r="Q31" s="12"/>
      <c r="R31" s="12"/>
      <c r="S31" s="12"/>
      <c r="T31" s="12"/>
    </row>
    <row r="32" spans="1:20">
      <c r="A32" s="12"/>
      <c r="B32" s="12"/>
      <c r="C32" s="12"/>
      <c r="D32" s="12"/>
      <c r="E32" s="12"/>
      <c r="F32" s="12"/>
      <c r="G32" s="12"/>
      <c r="H32" s="12"/>
      <c r="I32" s="12"/>
      <c r="J32" s="12"/>
      <c r="K32" s="12"/>
      <c r="L32" s="12"/>
      <c r="M32" s="12"/>
      <c r="N32" s="12"/>
      <c r="O32" s="12"/>
      <c r="P32" s="12"/>
      <c r="Q32" s="12"/>
      <c r="R32" s="12"/>
      <c r="S32" s="12"/>
      <c r="T32" s="12"/>
    </row>
    <row r="33" spans="1:20">
      <c r="A33" s="12"/>
      <c r="B33" s="12"/>
      <c r="C33" s="12"/>
      <c r="D33" s="12"/>
      <c r="E33" s="12"/>
      <c r="F33" s="12"/>
      <c r="G33" s="12"/>
      <c r="H33" s="12"/>
      <c r="I33" s="12"/>
      <c r="J33" s="12"/>
      <c r="K33" s="12"/>
      <c r="L33" s="12"/>
      <c r="M33" s="12"/>
      <c r="N33" s="12"/>
      <c r="O33" s="12"/>
      <c r="P33" s="12"/>
      <c r="Q33" s="12"/>
      <c r="R33" s="12"/>
      <c r="S33" s="12"/>
      <c r="T33" s="12"/>
    </row>
    <row r="34" spans="1:20">
      <c r="A34" s="12"/>
      <c r="B34" s="12"/>
      <c r="C34" s="12"/>
      <c r="D34" s="12"/>
      <c r="E34" s="12"/>
      <c r="F34" s="12"/>
      <c r="G34" s="12"/>
      <c r="H34" s="12"/>
      <c r="I34" s="12"/>
      <c r="J34" s="12"/>
      <c r="K34" s="12"/>
      <c r="L34" s="12"/>
      <c r="M34" s="12"/>
      <c r="N34" s="12"/>
      <c r="O34" s="12"/>
      <c r="P34" s="12"/>
      <c r="Q34" s="12"/>
      <c r="R34" s="12"/>
      <c r="S34" s="12"/>
      <c r="T34" s="12"/>
    </row>
    <row r="35" spans="1:20">
      <c r="A35" s="12"/>
      <c r="B35" s="12"/>
      <c r="C35" s="12"/>
      <c r="D35" s="12"/>
      <c r="E35" s="12"/>
      <c r="F35" s="12"/>
      <c r="G35" s="12"/>
      <c r="H35" s="12"/>
      <c r="I35" s="12"/>
      <c r="J35" s="12"/>
      <c r="K35" s="12"/>
      <c r="L35" s="12"/>
      <c r="M35" s="12"/>
      <c r="N35" s="12"/>
      <c r="O35" s="12"/>
      <c r="P35" s="12"/>
      <c r="Q35" s="12"/>
      <c r="R35" s="12"/>
      <c r="S35" s="12"/>
      <c r="T35" s="12"/>
    </row>
    <row r="36" spans="1:20">
      <c r="A36" s="12"/>
      <c r="B36" s="12"/>
      <c r="C36" s="12"/>
      <c r="D36" s="12"/>
      <c r="E36" s="12"/>
      <c r="F36" s="12"/>
      <c r="G36" s="12"/>
      <c r="H36" s="12"/>
      <c r="I36" s="12"/>
      <c r="J36" s="12"/>
      <c r="K36" s="12"/>
      <c r="L36" s="12"/>
      <c r="M36" s="12"/>
      <c r="N36" s="12"/>
      <c r="O36" s="12"/>
      <c r="P36" s="12"/>
      <c r="Q36" s="12"/>
      <c r="R36" s="12"/>
      <c r="S36" s="12"/>
      <c r="T36" s="12"/>
    </row>
    <row r="37" spans="1:20">
      <c r="A37" s="12"/>
      <c r="B37" s="12"/>
      <c r="C37" s="12"/>
      <c r="D37" s="12"/>
      <c r="E37" s="12"/>
      <c r="F37" s="12"/>
      <c r="G37" s="12"/>
      <c r="H37" s="12"/>
      <c r="I37" s="12"/>
      <c r="J37" s="12"/>
      <c r="K37" s="12"/>
      <c r="L37" s="12"/>
      <c r="M37" s="12"/>
      <c r="N37" s="12"/>
      <c r="O37" s="12"/>
      <c r="P37" s="12"/>
      <c r="Q37" s="12"/>
      <c r="R37" s="12"/>
      <c r="S37" s="12"/>
      <c r="T37" s="12"/>
    </row>
    <row r="38" spans="1:20">
      <c r="A38" s="12"/>
      <c r="B38" s="12"/>
      <c r="C38" s="12"/>
      <c r="D38" s="12"/>
      <c r="E38" s="12"/>
      <c r="F38" s="12"/>
      <c r="G38" s="12"/>
      <c r="H38" s="12"/>
      <c r="I38" s="12"/>
      <c r="J38" s="12"/>
      <c r="K38" s="12"/>
      <c r="L38" s="12"/>
      <c r="M38" s="12"/>
      <c r="N38" s="12"/>
      <c r="O38" s="12"/>
      <c r="P38" s="12"/>
      <c r="Q38" s="12"/>
      <c r="R38" s="12"/>
      <c r="S38" s="12"/>
      <c r="T38" s="12"/>
    </row>
    <row r="39" spans="1:20">
      <c r="A39" s="12"/>
      <c r="B39" s="12"/>
      <c r="C39" s="12"/>
      <c r="D39" s="12"/>
      <c r="E39" s="12"/>
      <c r="F39" s="12"/>
      <c r="G39" s="12"/>
      <c r="H39" s="12"/>
      <c r="I39" s="12"/>
      <c r="J39" s="12"/>
      <c r="K39" s="12"/>
      <c r="L39" s="12"/>
      <c r="M39" s="12"/>
      <c r="N39" s="12"/>
      <c r="O39" s="12"/>
      <c r="P39" s="12"/>
      <c r="Q39" s="12"/>
      <c r="R39" s="12"/>
      <c r="S39" s="12"/>
      <c r="T3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2272-31FE-3B49-A51E-28B12BA6CC29}">
  <dimension ref="C5:C21"/>
  <sheetViews>
    <sheetView showGridLines="0" tabSelected="1" topLeftCell="B1" workbookViewId="0">
      <selection activeCell="F18" sqref="F18"/>
    </sheetView>
  </sheetViews>
  <sheetFormatPr baseColWidth="10" defaultRowHeight="15"/>
  <sheetData>
    <row r="5" spans="3:3" ht="21">
      <c r="C5" s="10" t="s">
        <v>28</v>
      </c>
    </row>
    <row r="6" spans="3:3" ht="20">
      <c r="C6" s="8"/>
    </row>
    <row r="7" spans="3:3" ht="21">
      <c r="C7" s="8" t="s">
        <v>35</v>
      </c>
    </row>
    <row r="8" spans="3:3" ht="21">
      <c r="C8" s="8" t="s">
        <v>36</v>
      </c>
    </row>
    <row r="9" spans="3:3" ht="21">
      <c r="C9" s="8" t="s">
        <v>41</v>
      </c>
    </row>
    <row r="10" spans="3:3" ht="21">
      <c r="C10" s="8" t="s">
        <v>37</v>
      </c>
    </row>
    <row r="11" spans="3:3" ht="20">
      <c r="C11" s="8"/>
    </row>
    <row r="12" spans="3:3" ht="21">
      <c r="C12" s="10" t="s">
        <v>29</v>
      </c>
    </row>
    <row r="13" spans="3:3" ht="20">
      <c r="C13" s="8" t="s">
        <v>32</v>
      </c>
    </row>
    <row r="14" spans="3:3" ht="20">
      <c r="C14" s="8" t="s">
        <v>33</v>
      </c>
    </row>
    <row r="15" spans="3:3" ht="21">
      <c r="C15" s="8" t="s">
        <v>38</v>
      </c>
    </row>
    <row r="16" spans="3:3" ht="21">
      <c r="C16" s="8" t="s">
        <v>39</v>
      </c>
    </row>
    <row r="17" spans="3:3" ht="21">
      <c r="C17" s="8" t="s">
        <v>40</v>
      </c>
    </row>
    <row r="18" spans="3:3" ht="20">
      <c r="C18" s="8"/>
    </row>
    <row r="19" spans="3:3" ht="21">
      <c r="C19" s="10" t="s">
        <v>30</v>
      </c>
    </row>
    <row r="20" spans="3:3" ht="20">
      <c r="C20" s="8" t="s">
        <v>34</v>
      </c>
    </row>
    <row r="21" spans="3:3" ht="20">
      <c r="C21" s="9"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Prishtina_real_estate_2025</vt:lpstr>
      <vt:lpstr>Pivot Tables</vt:lpstr>
      <vt:lpstr>DASHBOARD</vt:lpstr>
      <vt:lpstr>Conclusions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2026-03-28T23:03:25Z</dcterms:created>
  <dcterms:modified xsi:type="dcterms:W3CDTF">2026-03-30T12:48:20Z</dcterms:modified>
</cp:coreProperties>
</file>